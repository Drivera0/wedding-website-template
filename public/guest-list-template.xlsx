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Guest List" state="visible" r:id="rId4"/>
    <sheet sheetId="2" name="How to use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<sst xmlns="http://schemas.openxmlformats.org/spreadsheetml/2006/main" count="479" uniqueCount="60">
  <si>
    <t>Alex &amp; Sam · Guest List</t>
  </si>
  <si>
    <t>Main guest, or a plus one of the guest above</t>
  </si>
  <si>
    <t>Main guest: who the invitation is for</t>
  </si>
  <si>
    <t>Main guests only: total people</t>
  </si>
  <si>
    <t>How they get their invitation</t>
  </si>
  <si>
    <t>With country code, e.g. +1 555 010 0000</t>
  </si>
  <si>
    <t>name@example.com</t>
  </si>
  <si>
    <t>Whose guest</t>
  </si>
  <si>
    <t>Family, friends...</t>
  </si>
  <si>
    <t>Anything for you, never shown to guests</t>
  </si>
  <si>
    <t>Fills itself in</t>
  </si>
  <si>
    <t>Type</t>
  </si>
  <si>
    <t>Name</t>
  </si>
  <si>
    <t>Party size</t>
  </si>
  <si>
    <t>Send by</t>
  </si>
  <si>
    <t>Phone (WhatsApp)</t>
  </si>
  <si>
    <t>Email</t>
  </si>
  <si>
    <t>Side</t>
  </si>
  <si>
    <t>Group</t>
  </si>
  <si>
    <t>Notes</t>
  </si>
  <si>
    <t>Ready?</t>
  </si>
  <si>
    <t>Belongs to</t>
  </si>
  <si>
    <t>Main guest</t>
  </si>
  <si>
    <t>Aunt Mary Smith</t>
  </si>
  <si>
    <t>WhatsApp</t>
  </si>
  <si>
    <t>+1 555 010 0000</t>
  </si>
  <si>
    <t/>
  </si>
  <si>
    <t>Sam</t>
  </si>
  <si>
    <t>Family</t>
  </si>
  <si>
    <t>Example row, delete me</t>
  </si>
  <si>
    <t>Plus one</t>
  </si>
  <si>
    <t>John Smith</t>
  </si>
  <si>
    <t>Jordan Lee</t>
  </si>
  <si>
    <t>jordan@example.com</t>
  </si>
  <si>
    <t>Alex</t>
  </si>
  <si>
    <t>Friends</t>
  </si>
  <si>
    <t>Guest List · how to use</t>
  </si>
  <si>
    <t>1.  One Main guest row per invitation. That is who the invitation is addressed to.</t>
  </si>
  <si>
    <t xml:space="preserve">     A couple or a family on one invitation is one Main guest row with a bigger party size.</t>
  </si>
  <si>
    <t>2.  Party size is the TOTAL number of people on that invitation, including the main guest.</t>
  </si>
  <si>
    <t xml:space="preserve">     1 = just them.  2 = them plus one.  4 = a family of four.</t>
  </si>
  <si>
    <t xml:space="preserve">     Guests can never RSVP for more people than this.</t>
  </si>
  <si>
    <t>3.  Want to see who the plus ones are? Add a row directly UNDER the main guest and set Type to Plus one.</t>
  </si>
  <si>
    <t xml:space="preserve">     Their name is optional (you can guess, or leave it empty). Leave party size empty on those rows.</t>
  </si>
  <si>
    <t xml:space="preserve">     Plus one rows are NOT imported as invitations: the website only invites the main guest,</t>
  </si>
  <si>
    <t xml:space="preserve">     and saves the plus one names in that invitation's notes. The guest types the real names when they RSVP.</t>
  </si>
  <si>
    <t>4.  Send by picks how the invitation goes out.</t>
  </si>
  <si>
    <t xml:space="preserve">     WhatsApp needs a phone number with the country code (+1, +44, +61 ...).</t>
  </si>
  <si>
    <t xml:space="preserve">     Email needs an email address. Both needs both. In person needs neither.</t>
  </si>
  <si>
    <t>5.  Watch the Ready? column. When every main guest says ✓ Ready, you're done.</t>
  </si>
  <si>
    <t xml:space="preserve">     The totals at the top count invitations, people invited, and plus ones you have named.</t>
  </si>
  <si>
    <t>6.  Delete the grey example rows before importing.</t>
  </si>
  <si>
    <t>7.  In the website admin, Invitations tab, click Import spreadsheet and pick this file.</t>
  </si>
  <si>
    <t xml:space="preserve">     You get a preview first. Nothing is saved until you confirm.</t>
  </si>
  <si>
    <t xml:space="preserve">     Main guests already on the invitation list are skipped, so re-importing is safe.</t>
  </si>
  <si>
    <t>Tip: keep the header row as it is, and keep plus ones directly under their main guest (sorting can separate them).</t>
  </si>
  <si>
    <t>Both</t>
  </si>
  <si>
    <t>Work</t>
  </si>
  <si>
    <t>In person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</si>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</sst>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rgb="FFFBF3E2"/>
      <sz val="18"/>
      <name val="Georgia"/>
    </font>
    <font>
      <b/>
      <color rgb="FFFBF3E2"/>
      <sz val="12"/>
      <name val="Calibri"/>
    </font>
    <font>
      <i/>
      <color rgb="FF9C7389"/>
      <sz val="9"/>
      <name val="Calibri"/>
    </font>
    <font>
      <b/>
      <color rgb="FFFFFFFF"/>
      <sz val="11"/>
      <name val="Calibri"/>
    </font>
    <font>
      <i/>
      <color rgb="FF9C7389"/>
      <sz val="11"/>
      <name val="Calibri"/>
    </font>
    <font>
      <color rgb="FF9C7389"/>
      <sz val="10"/>
      <name val="Calibri"/>
    </font>
    <font>
      <color rgb="FF4A2A3C"/>
      <sz val="11"/>
      <name val="Calibri"/>
    </font>
    <font>
      <color rgb="FF552940"/>
      <sz val="18"/>
      <name val="Georgia"/>
    </font>
    <font>
      <color rgb="FF4A2A3C"/>
      <sz val="12"/>
      <name val="Calibri"/>
    </font>
    <font>
      <color rgb="FF9C7389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52940"/>
      </patternFill>
    </fill>
    <fill>
      <patternFill patternType="solid">
        <fgColor rgb="FFFBF3E2"/>
      </patternFill>
    </fill>
    <fill>
      <patternFill patternType="solid">
        <fgColor rgb="FFE1703F"/>
      </patternFill>
    </fill>
    <fill>
      <patternFill patternType="solid">
        <fgColor rgb="FFFFFFFF"/>
      </patternFill>
    </fill>
    <fill>
      <patternFill patternType="solid">
        <fgColor rgb="FFF6E7CB"/>
      </patternFill>
    </fill>
  </fills>
  <borders count="2">
    <border>
      <left/>
      <right/>
      <top/>
      <bottom/>
      <diagonal/>
    </border>
    <border>
      <left/>
      <right/>
      <top/>
      <bottom style="hair">
        <color rgb="FFE8CF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 indent="1"/>
    </xf>
    <xf numFmtId="0" fontId="3" fillId="3" borderId="0" xfId="0" applyFont="1" applyFill="1" applyAlignment="1">
      <alignment vertical="center" wrapText="1" indent="1"/>
    </xf>
    <xf numFmtId="0" fontId="4" fillId="4" borderId="0" xfId="0" applyFont="1" applyFill="1" applyAlignment="1">
      <alignment vertical="center" indent="1"/>
    </xf>
    <xf numFmtId="0" fontId="5" fillId="5" borderId="1" xfId="0" applyFont="1" applyFill="1" applyBorder="1" applyAlignment="1">
      <alignment vertical="center" indent="1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vertical="center" indent="1"/>
    </xf>
    <xf numFmtId="0" fontId="6" fillId="5" borderId="1" xfId="0" applyFont="1" applyFill="1" applyBorder="1" applyAlignment="1">
      <alignment vertical="center" indent="1"/>
    </xf>
    <xf numFmtId="0" fontId="5" fillId="6" borderId="1" xfId="0" applyFont="1" applyFill="1" applyBorder="1" applyAlignment="1">
      <alignment vertical="center" indent="1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vertical="center" indent="1"/>
    </xf>
    <xf numFmtId="0" fontId="6" fillId="6" borderId="1" xfId="0" applyFont="1" applyFill="1" applyBorder="1" applyAlignment="1">
      <alignment vertical="center" indent="1"/>
    </xf>
    <xf numFmtId="0" fontId="7" fillId="6" borderId="1" xfId="0" applyFont="1" applyFill="1" applyBorder="1" applyAlignment="1">
      <alignment vertical="center" indent="1"/>
    </xf>
    <xf numFmtId="0" fontId="7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vertical="center" indent="1"/>
    </xf>
    <xf numFmtId="0" fontId="7" fillId="5" borderId="1" xfId="0" applyFont="1" applyFill="1" applyBorder="1" applyAlignment="1">
      <alignment vertical="center" indent="1"/>
    </xf>
    <xf numFmtId="0" fontId="7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vertical="center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4">
    <dxf>
      <font>
        <i/>
        <color rgb="FF9C7389"/>
      </font>
      <fill>
        <patternFill patternType="solid">
          <bgColor rgb="FFFDF6EC"/>
        </patternFill>
      </fill>
    </dxf>
    <dxf>
      <font>
        <i/>
        <color rgb="FF9C7389"/>
      </font>
    </dxf>
    <dxf>
      <font>
        <b/>
        <color rgb="FF3E7D3A"/>
      </font>
    </dxf>
    <dxf>
      <font>
        <b/>
        <color rgb="FFB26A00"/>
      </font>
      <fill>
        <patternFill patternType="solid"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703F"/>
  </sheetPr>
  <dimension ref="A1:K4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2" customWidth="1"/>
    <col min="4" max="4" width="13" customWidth="1"/>
    <col min="5" max="5" width="22" customWidth="1"/>
    <col min="6" max="6" width="30" customWidth="1"/>
    <col min="7" max="8" width="11" customWidth="1"/>
    <col min="9" max="9" width="30" customWidth="1"/>
    <col min="10" max="10" width="26" customWidth="1"/>
    <col min="11" max="11" width="20" hidden="1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2">
        <f>"Invitations: "&amp;COUNTIFS($A$4:$A$403,"&lt;&gt;Plus one",$B$4:$B$403,"&lt;&gt;")&amp;"     People invited: "&amp;SUM($C$4:$C$403)&amp;"     Plus ones named: "&amp;COUNTIFS($A$4:$A$403,"Plus one",$B$4:$B$403,"&lt;&gt;")</f>
      </c>
      <c r="G1" s="2"/>
      <c r="H1" s="2"/>
      <c r="I1" s="2"/>
      <c r="J1" s="2"/>
    </row>
    <row r="2" ht="30" customHeight="1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4" customHeight="1" spans="1:1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t="s">
        <v>21</v>
      </c>
    </row>
    <row r="4" spans="1:11" x14ac:dyDescent="0.25">
      <c r="A4" s="5" t="s">
        <v>22</v>
      </c>
      <c r="B4" s="5" t="s">
        <v>23</v>
      </c>
      <c r="C4" s="6">
        <v>2</v>
      </c>
      <c r="D4" s="5" t="s">
        <v>24</v>
      </c>
      <c r="E4" s="7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8">
        <f>IF(B4="",IF(AND(A4="Plus one",K4&lt;&gt;""),"↳ Plus one of "&amp;K4&amp;" (name TBC)",""),IF(A4="Plus one",IF(C4&lt;&gt;"","Leave party size empty",IF(K4="","Put it under a main guest","↳ Plus one of "&amp;K4)),IF(C4="","Add a party size",IF(COUNTIFS($K$4:$K$403,B4,$A$4:$A$403,"Plus one")&gt;C4-1,"More plus ones than party size",IF(AND(OR(D4="WhatsApp",D4="Both"),E4=""),"Add a phone number",IF(AND(OR(D4="Email",D4="Both"),F4=""),"Add an email",IF(AND(F4&lt;&gt;"",ISERROR(SEARCH("@",F4))),"Check the email","✓ Ready")))))))</f>
      </c>
      <c r="K4">
        <f>IF(A4="Plus one","",B4)</f>
      </c>
    </row>
    <row r="5" spans="1:11" x14ac:dyDescent="0.25">
      <c r="A5" s="9" t="s">
        <v>30</v>
      </c>
      <c r="B5" s="9" t="s">
        <v>31</v>
      </c>
      <c r="C5" s="10" t="s">
        <v>26</v>
      </c>
      <c r="D5" s="9" t="s">
        <v>26</v>
      </c>
      <c r="E5" s="11" t="s">
        <v>26</v>
      </c>
      <c r="F5" s="9" t="s">
        <v>26</v>
      </c>
      <c r="G5" s="9" t="s">
        <v>27</v>
      </c>
      <c r="H5" s="9" t="s">
        <v>28</v>
      </c>
      <c r="I5" s="9" t="s">
        <v>29</v>
      </c>
      <c r="J5" s="12">
        <f>IF(B5="",IF(AND(A5="Plus one",K5&lt;&gt;""),"↳ Plus one of "&amp;K5&amp;" (name TBC)",""),IF(A5="Plus one",IF(C5&lt;&gt;"","Leave party size empty",IF(K5="","Put it under a main guest","↳ Plus one of "&amp;K5)),IF(C5="","Add a party size",IF(COUNTIFS($K$4:$K$403,B5,$A$4:$A$403,"Plus one")&gt;C5-1,"More plus ones than party size",IF(AND(OR(D5="WhatsApp",D5="Both"),E5=""),"Add a phone number",IF(AND(OR(D5="Email",D5="Both"),F5=""),"Add an email",IF(AND(F5&lt;&gt;"",ISERROR(SEARCH("@",F5))),"Check the email","✓ Ready")))))))</f>
      </c>
      <c r="K5">
        <f>IF(A5="Plus one",K4,B5)</f>
      </c>
    </row>
    <row r="6" spans="1:11" x14ac:dyDescent="0.25">
      <c r="A6" s="5" t="s">
        <v>22</v>
      </c>
      <c r="B6" s="5" t="s">
        <v>32</v>
      </c>
      <c r="C6" s="6">
        <v>1</v>
      </c>
      <c r="D6" s="5" t="s">
        <v>16</v>
      </c>
      <c r="E6" s="7" t="s">
        <v>26</v>
      </c>
      <c r="F6" s="5" t="s">
        <v>33</v>
      </c>
      <c r="G6" s="5" t="s">
        <v>34</v>
      </c>
      <c r="H6" s="5" t="s">
        <v>35</v>
      </c>
      <c r="I6" s="5" t="s">
        <v>29</v>
      </c>
      <c r="J6" s="8">
        <f>IF(B6="",IF(AND(A6="Plus one",K6&lt;&gt;""),"↳ Plus one of "&amp;K6&amp;" (name TBC)",""),IF(A6="Plus one",IF(C6&lt;&gt;"","Leave party size empty",IF(K6="","Put it under a main guest","↳ Plus one of "&amp;K6)),IF(C6="","Add a party size",IF(COUNTIFS($K$4:$K$403,B6,$A$4:$A$403,"Plus one")&gt;C6-1,"More plus ones than party size",IF(AND(OR(D6="WhatsApp",D6="Both"),E6=""),"Add a phone number",IF(AND(OR(D6="Email",D6="Both"),F6=""),"Add an email",IF(AND(F6&lt;&gt;"",ISERROR(SEARCH("@",F6))),"Check the email","✓ Ready")))))))</f>
      </c>
      <c r="K6">
        <f>IF(A6="Plus one",K5,B6)</f>
      </c>
    </row>
    <row r="7" spans="1:11" x14ac:dyDescent="0.25">
      <c r="A7" s="13" t="s">
        <v>22</v>
      </c>
      <c r="B7" s="13"/>
      <c r="C7" s="14"/>
      <c r="D7" s="13"/>
      <c r="E7" s="15"/>
      <c r="F7" s="13"/>
      <c r="G7" s="13"/>
      <c r="H7" s="13"/>
      <c r="I7" s="13"/>
      <c r="J7" s="12">
        <f>IF(B7="",IF(AND(A7="Plus one",K7&lt;&gt;""),"↳ Plus one of "&amp;K7&amp;" (name TBC)",""),IF(A7="Plus one",IF(C7&lt;&gt;"","Leave party size empty",IF(K7="","Put it under a main guest","↳ Plus one of "&amp;K7)),IF(C7="","Add a party size",IF(COUNTIFS($K$4:$K$403,B7,$A$4:$A$403,"Plus one")&gt;C7-1,"More plus ones than party size",IF(AND(OR(D7="WhatsApp",D7="Both"),E7=""),"Add a phone number",IF(AND(OR(D7="Email",D7="Both"),F7=""),"Add an email",IF(AND(F7&lt;&gt;"",ISERROR(SEARCH("@",F7))),"Check the email","✓ Ready")))))))</f>
      </c>
      <c r="K7">
        <f>IF(A7="Plus one",K6,B7)</f>
      </c>
    </row>
    <row r="8" spans="1:11" x14ac:dyDescent="0.25">
      <c r="A8" s="16" t="s">
        <v>22</v>
      </c>
      <c r="B8" s="16"/>
      <c r="C8" s="17"/>
      <c r="D8" s="16"/>
      <c r="E8" s="18"/>
      <c r="F8" s="16"/>
      <c r="G8" s="16"/>
      <c r="H8" s="16"/>
      <c r="I8" s="16"/>
      <c r="J8" s="8">
        <f>IF(B8="",IF(AND(A8="Plus one",K8&lt;&gt;""),"↳ Plus one of "&amp;K8&amp;" (name TBC)",""),IF(A8="Plus one",IF(C8&lt;&gt;"","Leave party size empty",IF(K8="","Put it under a main guest","↳ Plus one of "&amp;K8)),IF(C8="","Add a party size",IF(COUNTIFS($K$4:$K$403,B8,$A$4:$A$403,"Plus one")&gt;C8-1,"More plus ones than party size",IF(AND(OR(D8="WhatsApp",D8="Both"),E8=""),"Add a phone number",IF(AND(OR(D8="Email",D8="Both"),F8=""),"Add an email",IF(AND(F8&lt;&gt;"",ISERROR(SEARCH("@",F8))),"Check the email","✓ Ready")))))))</f>
      </c>
      <c r="K8">
        <f>IF(A8="Plus one",K7,B8)</f>
      </c>
    </row>
    <row r="9" spans="1:11" x14ac:dyDescent="0.25">
      <c r="A9" s="13" t="s">
        <v>22</v>
      </c>
      <c r="B9" s="13"/>
      <c r="C9" s="14"/>
      <c r="D9" s="13"/>
      <c r="E9" s="15"/>
      <c r="F9" s="13"/>
      <c r="G9" s="13"/>
      <c r="H9" s="13"/>
      <c r="I9" s="13"/>
      <c r="J9" s="12">
        <f>IF(B9="",IF(AND(A9="Plus one",K9&lt;&gt;""),"↳ Plus one of "&amp;K9&amp;" (name TBC)",""),IF(A9="Plus one",IF(C9&lt;&gt;"","Leave party size empty",IF(K9="","Put it under a main guest","↳ Plus one of "&amp;K9)),IF(C9="","Add a party size",IF(COUNTIFS($K$4:$K$403,B9,$A$4:$A$403,"Plus one")&gt;C9-1,"More plus ones than party size",IF(AND(OR(D9="WhatsApp",D9="Both"),E9=""),"Add a phone number",IF(AND(OR(D9="Email",D9="Both"),F9=""),"Add an email",IF(AND(F9&lt;&gt;"",ISERROR(SEARCH("@",F9))),"Check the email","✓ Ready")))))))</f>
      </c>
      <c r="K9">
        <f>IF(A9="Plus one",K8,B9)</f>
      </c>
    </row>
    <row r="10" spans="1:11" x14ac:dyDescent="0.25">
      <c r="A10" s="16" t="s">
        <v>22</v>
      </c>
      <c r="B10" s="16"/>
      <c r="C10" s="17"/>
      <c r="D10" s="16"/>
      <c r="E10" s="18"/>
      <c r="F10" s="16"/>
      <c r="G10" s="16"/>
      <c r="H10" s="16"/>
      <c r="I10" s="16"/>
      <c r="J10" s="8">
        <f>IF(B10="",IF(AND(A10="Plus one",K10&lt;&gt;""),"↳ Plus one of "&amp;K10&amp;" (name TBC)",""),IF(A10="Plus one",IF(C10&lt;&gt;"","Leave party size empty",IF(K10="","Put it under a main guest","↳ Plus one of "&amp;K10)),IF(C10="","Add a party size",IF(COUNTIFS($K$4:$K$403,B10,$A$4:$A$403,"Plus one")&gt;C10-1,"More plus ones than party size",IF(AND(OR(D10="WhatsApp",D10="Both"),E10=""),"Add a phone number",IF(AND(OR(D10="Email",D10="Both"),F10=""),"Add an email",IF(AND(F10&lt;&gt;"",ISERROR(SEARCH("@",F10))),"Check the email","✓ Ready")))))))</f>
      </c>
      <c r="K10">
        <f>IF(A10="Plus one",K9,B10)</f>
      </c>
    </row>
    <row r="11" spans="1:11" x14ac:dyDescent="0.25">
      <c r="A11" s="13" t="s">
        <v>22</v>
      </c>
      <c r="B11" s="13"/>
      <c r="C11" s="14"/>
      <c r="D11" s="13"/>
      <c r="E11" s="15"/>
      <c r="F11" s="13"/>
      <c r="G11" s="13"/>
      <c r="H11" s="13"/>
      <c r="I11" s="13"/>
      <c r="J11" s="12">
        <f>IF(B11="",IF(AND(A11="Plus one",K11&lt;&gt;""),"↳ Plus one of "&amp;K11&amp;" (name TBC)",""),IF(A11="Plus one",IF(C11&lt;&gt;"","Leave party size empty",IF(K11="","Put it under a main guest","↳ Plus one of "&amp;K11)),IF(C11="","Add a party size",IF(COUNTIFS($K$4:$K$403,B11,$A$4:$A$403,"Plus one")&gt;C11-1,"More plus ones than party size",IF(AND(OR(D11="WhatsApp",D11="Both"),E11=""),"Add a phone number",IF(AND(OR(D11="Email",D11="Both"),F11=""),"Add an email",IF(AND(F11&lt;&gt;"",ISERROR(SEARCH("@",F11))),"Check the email","✓ Ready")))))))</f>
      </c>
      <c r="K11">
        <f>IF(A11="Plus one",K10,B11)</f>
      </c>
    </row>
    <row r="12" spans="1:11" x14ac:dyDescent="0.25">
      <c r="A12" s="16" t="s">
        <v>22</v>
      </c>
      <c r="B12" s="16"/>
      <c r="C12" s="17"/>
      <c r="D12" s="16"/>
      <c r="E12" s="18"/>
      <c r="F12" s="16"/>
      <c r="G12" s="16"/>
      <c r="H12" s="16"/>
      <c r="I12" s="16"/>
      <c r="J12" s="8">
        <f>IF(B12="",IF(AND(A12="Plus one",K12&lt;&gt;""),"↳ Plus one of "&amp;K12&amp;" (name TBC)",""),IF(A12="Plus one",IF(C12&lt;&gt;"","Leave party size empty",IF(K12="","Put it under a main guest","↳ Plus one of "&amp;K12)),IF(C12="","Add a party size",IF(COUNTIFS($K$4:$K$403,B12,$A$4:$A$403,"Plus one")&gt;C12-1,"More plus ones than party size",IF(AND(OR(D12="WhatsApp",D12="Both"),E12=""),"Add a phone number",IF(AND(OR(D12="Email",D12="Both"),F12=""),"Add an email",IF(AND(F12&lt;&gt;"",ISERROR(SEARCH("@",F12))),"Check the email","✓ Ready")))))))</f>
      </c>
      <c r="K12">
        <f>IF(A12="Plus one",K11,B12)</f>
      </c>
    </row>
    <row r="13" spans="1:11" x14ac:dyDescent="0.25">
      <c r="A13" s="13" t="s">
        <v>22</v>
      </c>
      <c r="B13" s="13"/>
      <c r="C13" s="14"/>
      <c r="D13" s="13"/>
      <c r="E13" s="15"/>
      <c r="F13" s="13"/>
      <c r="G13" s="13"/>
      <c r="H13" s="13"/>
      <c r="I13" s="13"/>
      <c r="J13" s="12">
        <f>IF(B13="",IF(AND(A13="Plus one",K13&lt;&gt;""),"↳ Plus one of "&amp;K13&amp;" (name TBC)",""),IF(A13="Plus one",IF(C13&lt;&gt;"","Leave party size empty",IF(K13="","Put it under a main guest","↳ Plus one of "&amp;K13)),IF(C13="","Add a party size",IF(COUNTIFS($K$4:$K$403,B13,$A$4:$A$403,"Plus one")&gt;C13-1,"More plus ones than party size",IF(AND(OR(D13="WhatsApp",D13="Both"),E13=""),"Add a phone number",IF(AND(OR(D13="Email",D13="Both"),F13=""),"Add an email",IF(AND(F13&lt;&gt;"",ISERROR(SEARCH("@",F13))),"Check the email","✓ Ready")))))))</f>
      </c>
      <c r="K13">
        <f>IF(A13="Plus one",K12,B13)</f>
      </c>
    </row>
    <row r="14" spans="1:11" x14ac:dyDescent="0.25">
      <c r="A14" s="16" t="s">
        <v>22</v>
      </c>
      <c r="B14" s="16"/>
      <c r="C14" s="17"/>
      <c r="D14" s="16"/>
      <c r="E14" s="18"/>
      <c r="F14" s="16"/>
      <c r="G14" s="16"/>
      <c r="H14" s="16"/>
      <c r="I14" s="16"/>
      <c r="J14" s="8">
        <f>IF(B14="",IF(AND(A14="Plus one",K14&lt;&gt;""),"↳ Plus one of "&amp;K14&amp;" (name TBC)",""),IF(A14="Plus one",IF(C14&lt;&gt;"","Leave party size empty",IF(K14="","Put it under a main guest","↳ Plus one of "&amp;K14)),IF(C14="","Add a party size",IF(COUNTIFS($K$4:$K$403,B14,$A$4:$A$403,"Plus one")&gt;C14-1,"More plus ones than party size",IF(AND(OR(D14="WhatsApp",D14="Both"),E14=""),"Add a phone number",IF(AND(OR(D14="Email",D14="Both"),F14=""),"Add an email",IF(AND(F14&lt;&gt;"",ISERROR(SEARCH("@",F14))),"Check the email","✓ Ready")))))))</f>
      </c>
      <c r="K14">
        <f>IF(A14="Plus one",K13,B14)</f>
      </c>
    </row>
    <row r="15" spans="1:11" x14ac:dyDescent="0.25">
      <c r="A15" s="13" t="s">
        <v>22</v>
      </c>
      <c r="B15" s="13"/>
      <c r="C15" s="14"/>
      <c r="D15" s="13"/>
      <c r="E15" s="15"/>
      <c r="F15" s="13"/>
      <c r="G15" s="13"/>
      <c r="H15" s="13"/>
      <c r="I15" s="13"/>
      <c r="J15" s="12">
        <f>IF(B15="",IF(AND(A15="Plus one",K15&lt;&gt;""),"↳ Plus one of "&amp;K15&amp;" (name TBC)",""),IF(A15="Plus one",IF(C15&lt;&gt;"","Leave party size empty",IF(K15="","Put it under a main guest","↳ Plus one of "&amp;K15)),IF(C15="","Add a party size",IF(COUNTIFS($K$4:$K$403,B15,$A$4:$A$403,"Plus one")&gt;C15-1,"More plus ones than party size",IF(AND(OR(D15="WhatsApp",D15="Both"),E15=""),"Add a phone number",IF(AND(OR(D15="Email",D15="Both"),F15=""),"Add an email",IF(AND(F15&lt;&gt;"",ISERROR(SEARCH("@",F15))),"Check the email","✓ Ready")))))))</f>
      </c>
      <c r="K15">
        <f>IF(A15="Plus one",K14,B15)</f>
      </c>
    </row>
    <row r="16" spans="1:11" x14ac:dyDescent="0.25">
      <c r="A16" s="16" t="s">
        <v>22</v>
      </c>
      <c r="B16" s="16"/>
      <c r="C16" s="17"/>
      <c r="D16" s="16"/>
      <c r="E16" s="18"/>
      <c r="F16" s="16"/>
      <c r="G16" s="16"/>
      <c r="H16" s="16"/>
      <c r="I16" s="16"/>
      <c r="J16" s="8">
        <f>IF(B16="",IF(AND(A16="Plus one",K16&lt;&gt;""),"↳ Plus one of "&amp;K16&amp;" (name TBC)",""),IF(A16="Plus one",IF(C16&lt;&gt;"","Leave party size empty",IF(K16="","Put it under a main guest","↳ Plus one of "&amp;K16)),IF(C16="","Add a party size",IF(COUNTIFS($K$4:$K$403,B16,$A$4:$A$403,"Plus one")&gt;C16-1,"More plus ones than party size",IF(AND(OR(D16="WhatsApp",D16="Both"),E16=""),"Add a phone number",IF(AND(OR(D16="Email",D16="Both"),F16=""),"Add an email",IF(AND(F16&lt;&gt;"",ISERROR(SEARCH("@",F16))),"Check the email","✓ Ready")))))))</f>
      </c>
      <c r="K16">
        <f>IF(A16="Plus one",K15,B16)</f>
      </c>
    </row>
    <row r="17" spans="1:11" x14ac:dyDescent="0.25">
      <c r="A17" s="13" t="s">
        <v>22</v>
      </c>
      <c r="B17" s="13"/>
      <c r="C17" s="14"/>
      <c r="D17" s="13"/>
      <c r="E17" s="15"/>
      <c r="F17" s="13"/>
      <c r="G17" s="13"/>
      <c r="H17" s="13"/>
      <c r="I17" s="13"/>
      <c r="J17" s="12">
        <f>IF(B17="",IF(AND(A17="Plus one",K17&lt;&gt;""),"↳ Plus one of "&amp;K17&amp;" (name TBC)",""),IF(A17="Plus one",IF(C17&lt;&gt;"","Leave party size empty",IF(K17="","Put it under a main guest","↳ Plus one of "&amp;K17)),IF(C17="","Add a party size",IF(COUNTIFS($K$4:$K$403,B17,$A$4:$A$403,"Plus one")&gt;C17-1,"More plus ones than party size",IF(AND(OR(D17="WhatsApp",D17="Both"),E17=""),"Add a phone number",IF(AND(OR(D17="Email",D17="Both"),F17=""),"Add an email",IF(AND(F17&lt;&gt;"",ISERROR(SEARCH("@",F17))),"Check the email","✓ Ready")))))))</f>
      </c>
      <c r="K17">
        <f>IF(A17="Plus one",K16,B17)</f>
      </c>
    </row>
    <row r="18" spans="1:11" x14ac:dyDescent="0.25">
      <c r="A18" s="16" t="s">
        <v>22</v>
      </c>
      <c r="B18" s="16"/>
      <c r="C18" s="17"/>
      <c r="D18" s="16"/>
      <c r="E18" s="18"/>
      <c r="F18" s="16"/>
      <c r="G18" s="16"/>
      <c r="H18" s="16"/>
      <c r="I18" s="16"/>
      <c r="J18" s="8">
        <f>IF(B18="",IF(AND(A18="Plus one",K18&lt;&gt;""),"↳ Plus one of "&amp;K18&amp;" (name TBC)",""),IF(A18="Plus one",IF(C18&lt;&gt;"","Leave party size empty",IF(K18="","Put it under a main guest","↳ Plus one of "&amp;K18)),IF(C18="","Add a party size",IF(COUNTIFS($K$4:$K$403,B18,$A$4:$A$403,"Plus one")&gt;C18-1,"More plus ones than party size",IF(AND(OR(D18="WhatsApp",D18="Both"),E18=""),"Add a phone number",IF(AND(OR(D18="Email",D18="Both"),F18=""),"Add an email",IF(AND(F18&lt;&gt;"",ISERROR(SEARCH("@",F18))),"Check the email","✓ Ready")))))))</f>
      </c>
      <c r="K18">
        <f>IF(A18="Plus one",K17,B18)</f>
      </c>
    </row>
    <row r="19" spans="1:11" x14ac:dyDescent="0.25">
      <c r="A19" s="13" t="s">
        <v>22</v>
      </c>
      <c r="B19" s="13"/>
      <c r="C19" s="14"/>
      <c r="D19" s="13"/>
      <c r="E19" s="15"/>
      <c r="F19" s="13"/>
      <c r="G19" s="13"/>
      <c r="H19" s="13"/>
      <c r="I19" s="13"/>
      <c r="J19" s="12">
        <f>IF(B19="",IF(AND(A19="Plus one",K19&lt;&gt;""),"↳ Plus one of "&amp;K19&amp;" (name TBC)",""),IF(A19="Plus one",IF(C19&lt;&gt;"","Leave party size empty",IF(K19="","Put it under a main guest","↳ Plus one of "&amp;K19)),IF(C19="","Add a party size",IF(COUNTIFS($K$4:$K$403,B19,$A$4:$A$403,"Plus one")&gt;C19-1,"More plus ones than party size",IF(AND(OR(D19="WhatsApp",D19="Both"),E19=""),"Add a phone number",IF(AND(OR(D19="Email",D19="Both"),F19=""),"Add an email",IF(AND(F19&lt;&gt;"",ISERROR(SEARCH("@",F19))),"Check the email","✓ Ready")))))))</f>
      </c>
      <c r="K19">
        <f>IF(A19="Plus one",K18,B19)</f>
      </c>
    </row>
    <row r="20" spans="1:11" x14ac:dyDescent="0.25">
      <c r="A20" s="16" t="s">
        <v>22</v>
      </c>
      <c r="B20" s="16"/>
      <c r="C20" s="17"/>
      <c r="D20" s="16"/>
      <c r="E20" s="18"/>
      <c r="F20" s="16"/>
      <c r="G20" s="16"/>
      <c r="H20" s="16"/>
      <c r="I20" s="16"/>
      <c r="J20" s="8">
        <f>IF(B20="",IF(AND(A20="Plus one",K20&lt;&gt;""),"↳ Plus one of "&amp;K20&amp;" (name TBC)",""),IF(A20="Plus one",IF(C20&lt;&gt;"","Leave party size empty",IF(K20="","Put it under a main guest","↳ Plus one of "&amp;K20)),IF(C20="","Add a party size",IF(COUNTIFS($K$4:$K$403,B20,$A$4:$A$403,"Plus one")&gt;C20-1,"More plus ones than party size",IF(AND(OR(D20="WhatsApp",D20="Both"),E20=""),"Add a phone number",IF(AND(OR(D20="Email",D20="Both"),F20=""),"Add an email",IF(AND(F20&lt;&gt;"",ISERROR(SEARCH("@",F20))),"Check the email","✓ Ready")))))))</f>
      </c>
      <c r="K20">
        <f>IF(A20="Plus one",K19,B20)</f>
      </c>
    </row>
    <row r="21" spans="1:11" x14ac:dyDescent="0.25">
      <c r="A21" s="13" t="s">
        <v>22</v>
      </c>
      <c r="B21" s="13"/>
      <c r="C21" s="14"/>
      <c r="D21" s="13"/>
      <c r="E21" s="15"/>
      <c r="F21" s="13"/>
      <c r="G21" s="13"/>
      <c r="H21" s="13"/>
      <c r="I21" s="13"/>
      <c r="J21" s="12">
        <f>IF(B21="",IF(AND(A21="Plus one",K21&lt;&gt;""),"↳ Plus one of "&amp;K21&amp;" (name TBC)",""),IF(A21="Plus one",IF(C21&lt;&gt;"","Leave party size empty",IF(K21="","Put it under a main guest","↳ Plus one of "&amp;K21)),IF(C21="","Add a party size",IF(COUNTIFS($K$4:$K$403,B21,$A$4:$A$403,"Plus one")&gt;C21-1,"More plus ones than party size",IF(AND(OR(D21="WhatsApp",D21="Both"),E21=""),"Add a phone number",IF(AND(OR(D21="Email",D21="Both"),F21=""),"Add an email",IF(AND(F21&lt;&gt;"",ISERROR(SEARCH("@",F21))),"Check the email","✓ Ready")))))))</f>
      </c>
      <c r="K21">
        <f>IF(A21="Plus one",K20,B21)</f>
      </c>
    </row>
    <row r="22" spans="1:11" x14ac:dyDescent="0.25">
      <c r="A22" s="16" t="s">
        <v>22</v>
      </c>
      <c r="B22" s="16"/>
      <c r="C22" s="17"/>
      <c r="D22" s="16"/>
      <c r="E22" s="18"/>
      <c r="F22" s="16"/>
      <c r="G22" s="16"/>
      <c r="H22" s="16"/>
      <c r="I22" s="16"/>
      <c r="J22" s="8">
        <f>IF(B22="",IF(AND(A22="Plus one",K22&lt;&gt;""),"↳ Plus one of "&amp;K22&amp;" (name TBC)",""),IF(A22="Plus one",IF(C22&lt;&gt;"","Leave party size empty",IF(K22="","Put it under a main guest","↳ Plus one of "&amp;K22)),IF(C22="","Add a party size",IF(COUNTIFS($K$4:$K$403,B22,$A$4:$A$403,"Plus one")&gt;C22-1,"More plus ones than party size",IF(AND(OR(D22="WhatsApp",D22="Both"),E22=""),"Add a phone number",IF(AND(OR(D22="Email",D22="Both"),F22=""),"Add an email",IF(AND(F22&lt;&gt;"",ISERROR(SEARCH("@",F22))),"Check the email","✓ Ready")))))))</f>
      </c>
      <c r="K22">
        <f>IF(A22="Plus one",K21,B22)</f>
      </c>
    </row>
    <row r="23" spans="1:11" x14ac:dyDescent="0.25">
      <c r="A23" s="13" t="s">
        <v>22</v>
      </c>
      <c r="B23" s="13"/>
      <c r="C23" s="14"/>
      <c r="D23" s="13"/>
      <c r="E23" s="15"/>
      <c r="F23" s="13"/>
      <c r="G23" s="13"/>
      <c r="H23" s="13"/>
      <c r="I23" s="13"/>
      <c r="J23" s="12">
        <f>IF(B23="",IF(AND(A23="Plus one",K23&lt;&gt;""),"↳ Plus one of "&amp;K23&amp;" (name TBC)",""),IF(A23="Plus one",IF(C23&lt;&gt;"","Leave party size empty",IF(K23="","Put it under a main guest","↳ Plus one of "&amp;K23)),IF(C23="","Add a party size",IF(COUNTIFS($K$4:$K$403,B23,$A$4:$A$403,"Plus one")&gt;C23-1,"More plus ones than party size",IF(AND(OR(D23="WhatsApp",D23="Both"),E23=""),"Add a phone number",IF(AND(OR(D23="Email",D23="Both"),F23=""),"Add an email",IF(AND(F23&lt;&gt;"",ISERROR(SEARCH("@",F23))),"Check the email","✓ Ready")))))))</f>
      </c>
      <c r="K23">
        <f>IF(A23="Plus one",K22,B23)</f>
      </c>
    </row>
    <row r="24" spans="1:11" x14ac:dyDescent="0.25">
      <c r="A24" s="16" t="s">
        <v>22</v>
      </c>
      <c r="B24" s="16"/>
      <c r="C24" s="17"/>
      <c r="D24" s="16"/>
      <c r="E24" s="18"/>
      <c r="F24" s="16"/>
      <c r="G24" s="16"/>
      <c r="H24" s="16"/>
      <c r="I24" s="16"/>
      <c r="J24" s="8">
        <f>IF(B24="",IF(AND(A24="Plus one",K24&lt;&gt;""),"↳ Plus one of "&amp;K24&amp;" (name TBC)",""),IF(A24="Plus one",IF(C24&lt;&gt;"","Leave party size empty",IF(K24="","Put it under a main guest","↳ Plus one of "&amp;K24)),IF(C24="","Add a party size",IF(COUNTIFS($K$4:$K$403,B24,$A$4:$A$403,"Plus one")&gt;C24-1,"More plus ones than party size",IF(AND(OR(D24="WhatsApp",D24="Both"),E24=""),"Add a phone number",IF(AND(OR(D24="Email",D24="Both"),F24=""),"Add an email",IF(AND(F24&lt;&gt;"",ISERROR(SEARCH("@",F24))),"Check the email","✓ Ready")))))))</f>
      </c>
      <c r="K24">
        <f>IF(A24="Plus one",K23,B24)</f>
      </c>
    </row>
    <row r="25" spans="1:11" x14ac:dyDescent="0.25">
      <c r="A25" s="13" t="s">
        <v>22</v>
      </c>
      <c r="B25" s="13"/>
      <c r="C25" s="14"/>
      <c r="D25" s="13"/>
      <c r="E25" s="15"/>
      <c r="F25" s="13"/>
      <c r="G25" s="13"/>
      <c r="H25" s="13"/>
      <c r="I25" s="13"/>
      <c r="J25" s="12">
        <f>IF(B25="",IF(AND(A25="Plus one",K25&lt;&gt;""),"↳ Plus one of "&amp;K25&amp;" (name TBC)",""),IF(A25="Plus one",IF(C25&lt;&gt;"","Leave party size empty",IF(K25="","Put it under a main guest","↳ Plus one of "&amp;K25)),IF(C25="","Add a party size",IF(COUNTIFS($K$4:$K$403,B25,$A$4:$A$403,"Plus one")&gt;C25-1,"More plus ones than party size",IF(AND(OR(D25="WhatsApp",D25="Both"),E25=""),"Add a phone number",IF(AND(OR(D25="Email",D25="Both"),F25=""),"Add an email",IF(AND(F25&lt;&gt;"",ISERROR(SEARCH("@",F25))),"Check the email","✓ Ready")))))))</f>
      </c>
      <c r="K25">
        <f>IF(A25="Plus one",K24,B25)</f>
      </c>
    </row>
    <row r="26" spans="1:11" x14ac:dyDescent="0.25">
      <c r="A26" s="16" t="s">
        <v>22</v>
      </c>
      <c r="B26" s="16"/>
      <c r="C26" s="17"/>
      <c r="D26" s="16"/>
      <c r="E26" s="18"/>
      <c r="F26" s="16"/>
      <c r="G26" s="16"/>
      <c r="H26" s="16"/>
      <c r="I26" s="16"/>
      <c r="J26" s="8">
        <f>IF(B26="",IF(AND(A26="Plus one",K26&lt;&gt;""),"↳ Plus one of "&amp;K26&amp;" (name TBC)",""),IF(A26="Plus one",IF(C26&lt;&gt;"","Leave party size empty",IF(K26="","Put it under a main guest","↳ Plus one of "&amp;K26)),IF(C26="","Add a party size",IF(COUNTIFS($K$4:$K$403,B26,$A$4:$A$403,"Plus one")&gt;C26-1,"More plus ones than party size",IF(AND(OR(D26="WhatsApp",D26="Both"),E26=""),"Add a phone number",IF(AND(OR(D26="Email",D26="Both"),F26=""),"Add an email",IF(AND(F26&lt;&gt;"",ISERROR(SEARCH("@",F26))),"Check the email","✓ Ready")))))))</f>
      </c>
      <c r="K26">
        <f>IF(A26="Plus one",K25,B26)</f>
      </c>
    </row>
    <row r="27" spans="1:11" x14ac:dyDescent="0.25">
      <c r="A27" s="13" t="s">
        <v>22</v>
      </c>
      <c r="B27" s="13"/>
      <c r="C27" s="14"/>
      <c r="D27" s="13"/>
      <c r="E27" s="15"/>
      <c r="F27" s="13"/>
      <c r="G27" s="13"/>
      <c r="H27" s="13"/>
      <c r="I27" s="13"/>
      <c r="J27" s="12">
        <f>IF(B27="",IF(AND(A27="Plus one",K27&lt;&gt;""),"↳ Plus one of "&amp;K27&amp;" (name TBC)",""),IF(A27="Plus one",IF(C27&lt;&gt;"","Leave party size empty",IF(K27="","Put it under a main guest","↳ Plus one of "&amp;K27)),IF(C27="","Add a party size",IF(COUNTIFS($K$4:$K$403,B27,$A$4:$A$403,"Plus one")&gt;C27-1,"More plus ones than party size",IF(AND(OR(D27="WhatsApp",D27="Both"),E27=""),"Add a phone number",IF(AND(OR(D27="Email",D27="Both"),F27=""),"Add an email",IF(AND(F27&lt;&gt;"",ISERROR(SEARCH("@",F27))),"Check the email","✓ Ready")))))))</f>
      </c>
      <c r="K27">
        <f>IF(A27="Plus one",K26,B27)</f>
      </c>
    </row>
    <row r="28" spans="1:11" x14ac:dyDescent="0.25">
      <c r="A28" s="16" t="s">
        <v>22</v>
      </c>
      <c r="B28" s="16"/>
      <c r="C28" s="17"/>
      <c r="D28" s="16"/>
      <c r="E28" s="18"/>
      <c r="F28" s="16"/>
      <c r="G28" s="16"/>
      <c r="H28" s="16"/>
      <c r="I28" s="16"/>
      <c r="J28" s="8">
        <f>IF(B28="",IF(AND(A28="Plus one",K28&lt;&gt;""),"↳ Plus one of "&amp;K28&amp;" (name TBC)",""),IF(A28="Plus one",IF(C28&lt;&gt;"","Leave party size empty",IF(K28="","Put it under a main guest","↳ Plus one of "&amp;K28)),IF(C28="","Add a party size",IF(COUNTIFS($K$4:$K$403,B28,$A$4:$A$403,"Plus one")&gt;C28-1,"More plus ones than party size",IF(AND(OR(D28="WhatsApp",D28="Both"),E28=""),"Add a phone number",IF(AND(OR(D28="Email",D28="Both"),F28=""),"Add an email",IF(AND(F28&lt;&gt;"",ISERROR(SEARCH("@",F28))),"Check the email","✓ Ready")))))))</f>
      </c>
      <c r="K28">
        <f>IF(A28="Plus one",K27,B28)</f>
      </c>
    </row>
    <row r="29" spans="1:11" x14ac:dyDescent="0.25">
      <c r="A29" s="13" t="s">
        <v>22</v>
      </c>
      <c r="B29" s="13"/>
      <c r="C29" s="14"/>
      <c r="D29" s="13"/>
      <c r="E29" s="15"/>
      <c r="F29" s="13"/>
      <c r="G29" s="13"/>
      <c r="H29" s="13"/>
      <c r="I29" s="13"/>
      <c r="J29" s="12">
        <f>IF(B29="",IF(AND(A29="Plus one",K29&lt;&gt;""),"↳ Plus one of "&amp;K29&amp;" (name TBC)",""),IF(A29="Plus one",IF(C29&lt;&gt;"","Leave party size empty",IF(K29="","Put it under a main guest","↳ Plus one of "&amp;K29)),IF(C29="","Add a party size",IF(COUNTIFS($K$4:$K$403,B29,$A$4:$A$403,"Plus one")&gt;C29-1,"More plus ones than party size",IF(AND(OR(D29="WhatsApp",D29="Both"),E29=""),"Add a phone number",IF(AND(OR(D29="Email",D29="Both"),F29=""),"Add an email",IF(AND(F29&lt;&gt;"",ISERROR(SEARCH("@",F29))),"Check the email","✓ Ready")))))))</f>
      </c>
      <c r="K29">
        <f>IF(A29="Plus one",K28,B29)</f>
      </c>
    </row>
    <row r="30" spans="1:11" x14ac:dyDescent="0.25">
      <c r="A30" s="16" t="s">
        <v>22</v>
      </c>
      <c r="B30" s="16"/>
      <c r="C30" s="17"/>
      <c r="D30" s="16"/>
      <c r="E30" s="18"/>
      <c r="F30" s="16"/>
      <c r="G30" s="16"/>
      <c r="H30" s="16"/>
      <c r="I30" s="16"/>
      <c r="J30" s="8">
        <f>IF(B30="",IF(AND(A30="Plus one",K30&lt;&gt;""),"↳ Plus one of "&amp;K30&amp;" (name TBC)",""),IF(A30="Plus one",IF(C30&lt;&gt;"","Leave party size empty",IF(K30="","Put it under a main guest","↳ Plus one of "&amp;K30)),IF(C30="","Add a party size",IF(COUNTIFS($K$4:$K$403,B30,$A$4:$A$403,"Plus one")&gt;C30-1,"More plus ones than party size",IF(AND(OR(D30="WhatsApp",D30="Both"),E30=""),"Add a phone number",IF(AND(OR(D30="Email",D30="Both"),F30=""),"Add an email",IF(AND(F30&lt;&gt;"",ISERROR(SEARCH("@",F30))),"Check the email","✓ Ready")))))))</f>
      </c>
      <c r="K30">
        <f>IF(A30="Plus one",K29,B30)</f>
      </c>
    </row>
    <row r="31" spans="1:11" x14ac:dyDescent="0.25">
      <c r="A31" s="13" t="s">
        <v>22</v>
      </c>
      <c r="B31" s="13"/>
      <c r="C31" s="14"/>
      <c r="D31" s="13"/>
      <c r="E31" s="15"/>
      <c r="F31" s="13"/>
      <c r="G31" s="13"/>
      <c r="H31" s="13"/>
      <c r="I31" s="13"/>
      <c r="J31" s="12">
        <f>IF(B31="",IF(AND(A31="Plus one",K31&lt;&gt;""),"↳ Plus one of "&amp;K31&amp;" (name TBC)",""),IF(A31="Plus one",IF(C31&lt;&gt;"","Leave party size empty",IF(K31="","Put it under a main guest","↳ Plus one of "&amp;K31)),IF(C31="","Add a party size",IF(COUNTIFS($K$4:$K$403,B31,$A$4:$A$403,"Plus one")&gt;C31-1,"More plus ones than party size",IF(AND(OR(D31="WhatsApp",D31="Both"),E31=""),"Add a phone number",IF(AND(OR(D31="Email",D31="Both"),F31=""),"Add an email",IF(AND(F31&lt;&gt;"",ISERROR(SEARCH("@",F31))),"Check the email","✓ Ready")))))))</f>
      </c>
      <c r="K31">
        <f>IF(A31="Plus one",K30,B31)</f>
      </c>
    </row>
    <row r="32" spans="1:11" x14ac:dyDescent="0.25">
      <c r="A32" s="16" t="s">
        <v>22</v>
      </c>
      <c r="B32" s="16"/>
      <c r="C32" s="17"/>
      <c r="D32" s="16"/>
      <c r="E32" s="18"/>
      <c r="F32" s="16"/>
      <c r="G32" s="16"/>
      <c r="H32" s="16"/>
      <c r="I32" s="16"/>
      <c r="J32" s="8">
        <f>IF(B32="",IF(AND(A32="Plus one",K32&lt;&gt;""),"↳ Plus one of "&amp;K32&amp;" (name TBC)",""),IF(A32="Plus one",IF(C32&lt;&gt;"","Leave party size empty",IF(K32="","Put it under a main guest","↳ Plus one of "&amp;K32)),IF(C32="","Add a party size",IF(COUNTIFS($K$4:$K$403,B32,$A$4:$A$403,"Plus one")&gt;C32-1,"More plus ones than party size",IF(AND(OR(D32="WhatsApp",D32="Both"),E32=""),"Add a phone number",IF(AND(OR(D32="Email",D32="Both"),F32=""),"Add an email",IF(AND(F32&lt;&gt;"",ISERROR(SEARCH("@",F32))),"Check the email","✓ Ready")))))))</f>
      </c>
      <c r="K32">
        <f>IF(A32="Plus one",K31,B32)</f>
      </c>
    </row>
    <row r="33" spans="1:11" x14ac:dyDescent="0.25">
      <c r="A33" s="13" t="s">
        <v>22</v>
      </c>
      <c r="B33" s="13"/>
      <c r="C33" s="14"/>
      <c r="D33" s="13"/>
      <c r="E33" s="15"/>
      <c r="F33" s="13"/>
      <c r="G33" s="13"/>
      <c r="H33" s="13"/>
      <c r="I33" s="13"/>
      <c r="J33" s="12">
        <f>IF(B33="",IF(AND(A33="Plus one",K33&lt;&gt;""),"↳ Plus one of "&amp;K33&amp;" (name TBC)",""),IF(A33="Plus one",IF(C33&lt;&gt;"","Leave party size empty",IF(K33="","Put it under a main guest","↳ Plus one of "&amp;K33)),IF(C33="","Add a party size",IF(COUNTIFS($K$4:$K$403,B33,$A$4:$A$403,"Plus one")&gt;C33-1,"More plus ones than party size",IF(AND(OR(D33="WhatsApp",D33="Both"),E33=""),"Add a phone number",IF(AND(OR(D33="Email",D33="Both"),F33=""),"Add an email",IF(AND(F33&lt;&gt;"",ISERROR(SEARCH("@",F33))),"Check the email","✓ Ready")))))))</f>
      </c>
      <c r="K33">
        <f>IF(A33="Plus one",K32,B33)</f>
      </c>
    </row>
    <row r="34" spans="1:11" x14ac:dyDescent="0.25">
      <c r="A34" s="16" t="s">
        <v>22</v>
      </c>
      <c r="B34" s="16"/>
      <c r="C34" s="17"/>
      <c r="D34" s="16"/>
      <c r="E34" s="18"/>
      <c r="F34" s="16"/>
      <c r="G34" s="16"/>
      <c r="H34" s="16"/>
      <c r="I34" s="16"/>
      <c r="J34" s="8">
        <f>IF(B34="",IF(AND(A34="Plus one",K34&lt;&gt;""),"↳ Plus one of "&amp;K34&amp;" (name TBC)",""),IF(A34="Plus one",IF(C34&lt;&gt;"","Leave party size empty",IF(K34="","Put it under a main guest","↳ Plus one of "&amp;K34)),IF(C34="","Add a party size",IF(COUNTIFS($K$4:$K$403,B34,$A$4:$A$403,"Plus one")&gt;C34-1,"More plus ones than party size",IF(AND(OR(D34="WhatsApp",D34="Both"),E34=""),"Add a phone number",IF(AND(OR(D34="Email",D34="Both"),F34=""),"Add an email",IF(AND(F34&lt;&gt;"",ISERROR(SEARCH("@",F34))),"Check the email","✓ Ready")))))))</f>
      </c>
      <c r="K34">
        <f>IF(A34="Plus one",K33,B34)</f>
      </c>
    </row>
    <row r="35" spans="1:11" x14ac:dyDescent="0.25">
      <c r="A35" s="13" t="s">
        <v>22</v>
      </c>
      <c r="B35" s="13"/>
      <c r="C35" s="14"/>
      <c r="D35" s="13"/>
      <c r="E35" s="15"/>
      <c r="F35" s="13"/>
      <c r="G35" s="13"/>
      <c r="H35" s="13"/>
      <c r="I35" s="13"/>
      <c r="J35" s="12">
        <f>IF(B35="",IF(AND(A35="Plus one",K35&lt;&gt;""),"↳ Plus one of "&amp;K35&amp;" (name TBC)",""),IF(A35="Plus one",IF(C35&lt;&gt;"","Leave party size empty",IF(K35="","Put it under a main guest","↳ Plus one of "&amp;K35)),IF(C35="","Add a party size",IF(COUNTIFS($K$4:$K$403,B35,$A$4:$A$403,"Plus one")&gt;C35-1,"More plus ones than party size",IF(AND(OR(D35="WhatsApp",D35="Both"),E35=""),"Add a phone number",IF(AND(OR(D35="Email",D35="Both"),F35=""),"Add an email",IF(AND(F35&lt;&gt;"",ISERROR(SEARCH("@",F35))),"Check the email","✓ Ready")))))))</f>
      </c>
      <c r="K35">
        <f>IF(A35="Plus one",K34,B35)</f>
      </c>
    </row>
    <row r="36" spans="1:11" x14ac:dyDescent="0.25">
      <c r="A36" s="16" t="s">
        <v>22</v>
      </c>
      <c r="B36" s="16"/>
      <c r="C36" s="17"/>
      <c r="D36" s="16"/>
      <c r="E36" s="18"/>
      <c r="F36" s="16"/>
      <c r="G36" s="16"/>
      <c r="H36" s="16"/>
      <c r="I36" s="16"/>
      <c r="J36" s="8">
        <f>IF(B36="",IF(AND(A36="Plus one",K36&lt;&gt;""),"↳ Plus one of "&amp;K36&amp;" (name TBC)",""),IF(A36="Plus one",IF(C36&lt;&gt;"","Leave party size empty",IF(K36="","Put it under a main guest","↳ Plus one of "&amp;K36)),IF(C36="","Add a party size",IF(COUNTIFS($K$4:$K$403,B36,$A$4:$A$403,"Plus one")&gt;C36-1,"More plus ones than party size",IF(AND(OR(D36="WhatsApp",D36="Both"),E36=""),"Add a phone number",IF(AND(OR(D36="Email",D36="Both"),F36=""),"Add an email",IF(AND(F36&lt;&gt;"",ISERROR(SEARCH("@",F36))),"Check the email","✓ Ready")))))))</f>
      </c>
      <c r="K36">
        <f>IF(A36="Plus one",K35,B36)</f>
      </c>
    </row>
    <row r="37" spans="1:11" x14ac:dyDescent="0.25">
      <c r="A37" s="13" t="s">
        <v>22</v>
      </c>
      <c r="B37" s="13"/>
      <c r="C37" s="14"/>
      <c r="D37" s="13"/>
      <c r="E37" s="15"/>
      <c r="F37" s="13"/>
      <c r="G37" s="13"/>
      <c r="H37" s="13"/>
      <c r="I37" s="13"/>
      <c r="J37" s="12">
        <f>IF(B37="",IF(AND(A37="Plus one",K37&lt;&gt;""),"↳ Plus one of "&amp;K37&amp;" (name TBC)",""),IF(A37="Plus one",IF(C37&lt;&gt;"","Leave party size empty",IF(K37="","Put it under a main guest","↳ Plus one of "&amp;K37)),IF(C37="","Add a party size",IF(COUNTIFS($K$4:$K$403,B37,$A$4:$A$403,"Plus one")&gt;C37-1,"More plus ones than party size",IF(AND(OR(D37="WhatsApp",D37="Both"),E37=""),"Add a phone number",IF(AND(OR(D37="Email",D37="Both"),F37=""),"Add an email",IF(AND(F37&lt;&gt;"",ISERROR(SEARCH("@",F37))),"Check the email","✓ Ready")))))))</f>
      </c>
      <c r="K37">
        <f>IF(A37="Plus one",K36,B37)</f>
      </c>
    </row>
    <row r="38" spans="1:11" x14ac:dyDescent="0.25">
      <c r="A38" s="16" t="s">
        <v>22</v>
      </c>
      <c r="B38" s="16"/>
      <c r="C38" s="17"/>
      <c r="D38" s="16"/>
      <c r="E38" s="18"/>
      <c r="F38" s="16"/>
      <c r="G38" s="16"/>
      <c r="H38" s="16"/>
      <c r="I38" s="16"/>
      <c r="J38" s="8">
        <f>IF(B38="",IF(AND(A38="Plus one",K38&lt;&gt;""),"↳ Plus one of "&amp;K38&amp;" (name TBC)",""),IF(A38="Plus one",IF(C38&lt;&gt;"","Leave party size empty",IF(K38="","Put it under a main guest","↳ Plus one of "&amp;K38)),IF(C38="","Add a party size",IF(COUNTIFS($K$4:$K$403,B38,$A$4:$A$403,"Plus one")&gt;C38-1,"More plus ones than party size",IF(AND(OR(D38="WhatsApp",D38="Both"),E38=""),"Add a phone number",IF(AND(OR(D38="Email",D38="Both"),F38=""),"Add an email",IF(AND(F38&lt;&gt;"",ISERROR(SEARCH("@",F38))),"Check the email","✓ Ready")))))))</f>
      </c>
      <c r="K38">
        <f>IF(A38="Plus one",K37,B38)</f>
      </c>
    </row>
    <row r="39" spans="1:11" x14ac:dyDescent="0.25">
      <c r="A39" s="13" t="s">
        <v>22</v>
      </c>
      <c r="B39" s="13"/>
      <c r="C39" s="14"/>
      <c r="D39" s="13"/>
      <c r="E39" s="15"/>
      <c r="F39" s="13"/>
      <c r="G39" s="13"/>
      <c r="H39" s="13"/>
      <c r="I39" s="13"/>
      <c r="J39" s="12">
        <f>IF(B39="",IF(AND(A39="Plus one",K39&lt;&gt;""),"↳ Plus one of "&amp;K39&amp;" (name TBC)",""),IF(A39="Plus one",IF(C39&lt;&gt;"","Leave party size empty",IF(K39="","Put it under a main guest","↳ Plus one of "&amp;K39)),IF(C39="","Add a party size",IF(COUNTIFS($K$4:$K$403,B39,$A$4:$A$403,"Plus one")&gt;C39-1,"More plus ones than party size",IF(AND(OR(D39="WhatsApp",D39="Both"),E39=""),"Add a phone number",IF(AND(OR(D39="Email",D39="Both"),F39=""),"Add an email",IF(AND(F39&lt;&gt;"",ISERROR(SEARCH("@",F39))),"Check the email","✓ Ready")))))))</f>
      </c>
      <c r="K39">
        <f>IF(A39="Plus one",K38,B39)</f>
      </c>
    </row>
    <row r="40" spans="1:11" x14ac:dyDescent="0.25">
      <c r="A40" s="16" t="s">
        <v>22</v>
      </c>
      <c r="B40" s="16"/>
      <c r="C40" s="17"/>
      <c r="D40" s="16"/>
      <c r="E40" s="18"/>
      <c r="F40" s="16"/>
      <c r="G40" s="16"/>
      <c r="H40" s="16"/>
      <c r="I40" s="16"/>
      <c r="J40" s="8">
        <f>IF(B40="",IF(AND(A40="Plus one",K40&lt;&gt;""),"↳ Plus one of "&amp;K40&amp;" (name TBC)",""),IF(A40="Plus one",IF(C40&lt;&gt;"","Leave party size empty",IF(K40="","Put it under a main guest","↳ Plus one of "&amp;K40)),IF(C40="","Add a party size",IF(COUNTIFS($K$4:$K$403,B40,$A$4:$A$403,"Plus one")&gt;C40-1,"More plus ones than party size",IF(AND(OR(D40="WhatsApp",D40="Both"),E40=""),"Add a phone number",IF(AND(OR(D40="Email",D40="Both"),F40=""),"Add an email",IF(AND(F40&lt;&gt;"",ISERROR(SEARCH("@",F40))),"Check the email","✓ Ready")))))))</f>
      </c>
      <c r="K40">
        <f>IF(A40="Plus one",K39,B40)</f>
      </c>
    </row>
    <row r="41" spans="1:11" x14ac:dyDescent="0.25">
      <c r="A41" s="13" t="s">
        <v>22</v>
      </c>
      <c r="B41" s="13"/>
      <c r="C41" s="14"/>
      <c r="D41" s="13"/>
      <c r="E41" s="15"/>
      <c r="F41" s="13"/>
      <c r="G41" s="13"/>
      <c r="H41" s="13"/>
      <c r="I41" s="13"/>
      <c r="J41" s="12">
        <f>IF(B41="",IF(AND(A41="Plus one",K41&lt;&gt;""),"↳ Plus one of "&amp;K41&amp;" (name TBC)",""),IF(A41="Plus one",IF(C41&lt;&gt;"","Leave party size empty",IF(K41="","Put it under a main guest","↳ Plus one of "&amp;K41)),IF(C41="","Add a party size",IF(COUNTIFS($K$4:$K$403,B41,$A$4:$A$403,"Plus one")&gt;C41-1,"More plus ones than party size",IF(AND(OR(D41="WhatsApp",D41="Both"),E41=""),"Add a phone number",IF(AND(OR(D41="Email",D41="Both"),F41=""),"Add an email",IF(AND(F41&lt;&gt;"",ISERROR(SEARCH("@",F41))),"Check the email","✓ Ready")))))))</f>
      </c>
      <c r="K41">
        <f>IF(A41="Plus one",K40,B41)</f>
      </c>
    </row>
    <row r="42" spans="1:11" x14ac:dyDescent="0.25">
      <c r="A42" s="16" t="s">
        <v>22</v>
      </c>
      <c r="B42" s="16"/>
      <c r="C42" s="17"/>
      <c r="D42" s="16"/>
      <c r="E42" s="18"/>
      <c r="F42" s="16"/>
      <c r="G42" s="16"/>
      <c r="H42" s="16"/>
      <c r="I42" s="16"/>
      <c r="J42" s="8">
        <f>IF(B42="",IF(AND(A42="Plus one",K42&lt;&gt;""),"↳ Plus one of "&amp;K42&amp;" (name TBC)",""),IF(A42="Plus one",IF(C42&lt;&gt;"","Leave party size empty",IF(K42="","Put it under a main guest","↳ Plus one of "&amp;K42)),IF(C42="","Add a party size",IF(COUNTIFS($K$4:$K$403,B42,$A$4:$A$403,"Plus one")&gt;C42-1,"More plus ones than party size",IF(AND(OR(D42="WhatsApp",D42="Both"),E42=""),"Add a phone number",IF(AND(OR(D42="Email",D42="Both"),F42=""),"Add an email",IF(AND(F42&lt;&gt;"",ISERROR(SEARCH("@",F42))),"Check the email","✓ Ready")))))))</f>
      </c>
      <c r="K42">
        <f>IF(A42="Plus one",K41,B42)</f>
      </c>
    </row>
    <row r="43" spans="1:11" x14ac:dyDescent="0.25">
      <c r="A43" s="13" t="s">
        <v>22</v>
      </c>
      <c r="B43" s="13"/>
      <c r="C43" s="14"/>
      <c r="D43" s="13"/>
      <c r="E43" s="15"/>
      <c r="F43" s="13"/>
      <c r="G43" s="13"/>
      <c r="H43" s="13"/>
      <c r="I43" s="13"/>
      <c r="J43" s="12">
        <f>IF(B43="",IF(AND(A43="Plus one",K43&lt;&gt;""),"↳ Plus one of "&amp;K43&amp;" (name TBC)",""),IF(A43="Plus one",IF(C43&lt;&gt;"","Leave party size empty",IF(K43="","Put it under a main guest","↳ Plus one of "&amp;K43)),IF(C43="","Add a party size",IF(COUNTIFS($K$4:$K$403,B43,$A$4:$A$403,"Plus one")&gt;C43-1,"More plus ones than party size",IF(AND(OR(D43="WhatsApp",D43="Both"),E43=""),"Add a phone number",IF(AND(OR(D43="Email",D43="Both"),F43=""),"Add an email",IF(AND(F43&lt;&gt;"",ISERROR(SEARCH("@",F43))),"Check the email","✓ Ready")))))))</f>
      </c>
      <c r="K43">
        <f>IF(A43="Plus one",K42,B43)</f>
      </c>
    </row>
    <row r="44" spans="1:11" x14ac:dyDescent="0.25">
      <c r="A44" s="16" t="s">
        <v>22</v>
      </c>
      <c r="B44" s="16"/>
      <c r="C44" s="17"/>
      <c r="D44" s="16"/>
      <c r="E44" s="18"/>
      <c r="F44" s="16"/>
      <c r="G44" s="16"/>
      <c r="H44" s="16"/>
      <c r="I44" s="16"/>
      <c r="J44" s="8">
        <f>IF(B44="",IF(AND(A44="Plus one",K44&lt;&gt;""),"↳ Plus one of "&amp;K44&amp;" (name TBC)",""),IF(A44="Plus one",IF(C44&lt;&gt;"","Leave party size empty",IF(K44="","Put it under a main guest","↳ Plus one of "&amp;K44)),IF(C44="","Add a party size",IF(COUNTIFS($K$4:$K$403,B44,$A$4:$A$403,"Plus one")&gt;C44-1,"More plus ones than party size",IF(AND(OR(D44="WhatsApp",D44="Both"),E44=""),"Add a phone number",IF(AND(OR(D44="Email",D44="Both"),F44=""),"Add an email",IF(AND(F44&lt;&gt;"",ISERROR(SEARCH("@",F44))),"Check the email","✓ Ready")))))))</f>
      </c>
      <c r="K44">
        <f>IF(A44="Plus one",K43,B44)</f>
      </c>
    </row>
    <row r="45" spans="1:11" x14ac:dyDescent="0.25">
      <c r="A45" s="13" t="s">
        <v>22</v>
      </c>
      <c r="B45" s="13"/>
      <c r="C45" s="14"/>
      <c r="D45" s="13"/>
      <c r="E45" s="15"/>
      <c r="F45" s="13"/>
      <c r="G45" s="13"/>
      <c r="H45" s="13"/>
      <c r="I45" s="13"/>
      <c r="J45" s="12">
        <f>IF(B45="",IF(AND(A45="Plus one",K45&lt;&gt;""),"↳ Plus one of "&amp;K45&amp;" (name TBC)",""),IF(A45="Plus one",IF(C45&lt;&gt;"","Leave party size empty",IF(K45="","Put it under a main guest","↳ Plus one of "&amp;K45)),IF(C45="","Add a party size",IF(COUNTIFS($K$4:$K$403,B45,$A$4:$A$403,"Plus one")&gt;C45-1,"More plus ones than party size",IF(AND(OR(D45="WhatsApp",D45="Both"),E45=""),"Add a phone number",IF(AND(OR(D45="Email",D45="Both"),F45=""),"Add an email",IF(AND(F45&lt;&gt;"",ISERROR(SEARCH("@",F45))),"Check the email","✓ Ready")))))))</f>
      </c>
      <c r="K45">
        <f>IF(A45="Plus one",K44,B45)</f>
      </c>
    </row>
    <row r="46" spans="1:11" x14ac:dyDescent="0.25">
      <c r="A46" s="16" t="s">
        <v>22</v>
      </c>
      <c r="B46" s="16"/>
      <c r="C46" s="17"/>
      <c r="D46" s="16"/>
      <c r="E46" s="18"/>
      <c r="F46" s="16"/>
      <c r="G46" s="16"/>
      <c r="H46" s="16"/>
      <c r="I46" s="16"/>
      <c r="J46" s="8">
        <f>IF(B46="",IF(AND(A46="Plus one",K46&lt;&gt;""),"↳ Plus one of "&amp;K46&amp;" (name TBC)",""),IF(A46="Plus one",IF(C46&lt;&gt;"","Leave party size empty",IF(K46="","Put it under a main guest","↳ Plus one of "&amp;K46)),IF(C46="","Add a party size",IF(COUNTIFS($K$4:$K$403,B46,$A$4:$A$403,"Plus one")&gt;C46-1,"More plus ones than party size",IF(AND(OR(D46="WhatsApp",D46="Both"),E46=""),"Add a phone number",IF(AND(OR(D46="Email",D46="Both"),F46=""),"Add an email",IF(AND(F46&lt;&gt;"",ISERROR(SEARCH("@",F46))),"Check the email","✓ Ready")))))))</f>
      </c>
      <c r="K46">
        <f>IF(A46="Plus one",K45,B46)</f>
      </c>
    </row>
    <row r="47" spans="1:11" x14ac:dyDescent="0.25">
      <c r="A47" s="13" t="s">
        <v>22</v>
      </c>
      <c r="B47" s="13"/>
      <c r="C47" s="14"/>
      <c r="D47" s="13"/>
      <c r="E47" s="15"/>
      <c r="F47" s="13"/>
      <c r="G47" s="13"/>
      <c r="H47" s="13"/>
      <c r="I47" s="13"/>
      <c r="J47" s="12">
        <f>IF(B47="",IF(AND(A47="Plus one",K47&lt;&gt;""),"↳ Plus one of "&amp;K47&amp;" (name TBC)",""),IF(A47="Plus one",IF(C47&lt;&gt;"","Leave party size empty",IF(K47="","Put it under a main guest","↳ Plus one of "&amp;K47)),IF(C47="","Add a party size",IF(COUNTIFS($K$4:$K$403,B47,$A$4:$A$403,"Plus one")&gt;C47-1,"More plus ones than party size",IF(AND(OR(D47="WhatsApp",D47="Both"),E47=""),"Add a phone number",IF(AND(OR(D47="Email",D47="Both"),F47=""),"Add an email",IF(AND(F47&lt;&gt;"",ISERROR(SEARCH("@",F47))),"Check the email","✓ Ready")))))))</f>
      </c>
      <c r="K47">
        <f>IF(A47="Plus one",K46,B47)</f>
      </c>
    </row>
    <row r="48" spans="1:11" x14ac:dyDescent="0.25">
      <c r="A48" s="16" t="s">
        <v>22</v>
      </c>
      <c r="B48" s="16"/>
      <c r="C48" s="17"/>
      <c r="D48" s="16"/>
      <c r="E48" s="18"/>
      <c r="F48" s="16"/>
      <c r="G48" s="16"/>
      <c r="H48" s="16"/>
      <c r="I48" s="16"/>
      <c r="J48" s="8">
        <f>IF(B48="",IF(AND(A48="Plus one",K48&lt;&gt;""),"↳ Plus one of "&amp;K48&amp;" (name TBC)",""),IF(A48="Plus one",IF(C48&lt;&gt;"","Leave party size empty",IF(K48="","Put it under a main guest","↳ Plus one of "&amp;K48)),IF(C48="","Add a party size",IF(COUNTIFS($K$4:$K$403,B48,$A$4:$A$403,"Plus one")&gt;C48-1,"More plus ones than party size",IF(AND(OR(D48="WhatsApp",D48="Both"),E48=""),"Add a phone number",IF(AND(OR(D48="Email",D48="Both"),F48=""),"Add an email",IF(AND(F48&lt;&gt;"",ISERROR(SEARCH("@",F48))),"Check the email","✓ Ready")))))))</f>
      </c>
      <c r="K48">
        <f>IF(A48="Plus one",K47,B48)</f>
      </c>
    </row>
    <row r="49" spans="1:11" x14ac:dyDescent="0.25">
      <c r="A49" s="13" t="s">
        <v>22</v>
      </c>
      <c r="B49" s="13"/>
      <c r="C49" s="14"/>
      <c r="D49" s="13"/>
      <c r="E49" s="15"/>
      <c r="F49" s="13"/>
      <c r="G49" s="13"/>
      <c r="H49" s="13"/>
      <c r="I49" s="13"/>
      <c r="J49" s="12">
        <f>IF(B49="",IF(AND(A49="Plus one",K49&lt;&gt;""),"↳ Plus one of "&amp;K49&amp;" (name TBC)",""),IF(A49="Plus one",IF(C49&lt;&gt;"","Leave party size empty",IF(K49="","Put it under a main guest","↳ Plus one of "&amp;K49)),IF(C49="","Add a party size",IF(COUNTIFS($K$4:$K$403,B49,$A$4:$A$403,"Plus one")&gt;C49-1,"More plus ones than party size",IF(AND(OR(D49="WhatsApp",D49="Both"),E49=""),"Add a phone number",IF(AND(OR(D49="Email",D49="Both"),F49=""),"Add an email",IF(AND(F49&lt;&gt;"",ISERROR(SEARCH("@",F49))),"Check the email","✓ Ready")))))))</f>
      </c>
      <c r="K49">
        <f>IF(A49="Plus one",K48,B49)</f>
      </c>
    </row>
    <row r="50" spans="1:11" x14ac:dyDescent="0.25">
      <c r="A50" s="16" t="s">
        <v>22</v>
      </c>
      <c r="B50" s="16"/>
      <c r="C50" s="17"/>
      <c r="D50" s="16"/>
      <c r="E50" s="18"/>
      <c r="F50" s="16"/>
      <c r="G50" s="16"/>
      <c r="H50" s="16"/>
      <c r="I50" s="16"/>
      <c r="J50" s="8">
        <f>IF(B50="",IF(AND(A50="Plus one",K50&lt;&gt;""),"↳ Plus one of "&amp;K50&amp;" (name TBC)",""),IF(A50="Plus one",IF(C50&lt;&gt;"","Leave party size empty",IF(K50="","Put it under a main guest","↳ Plus one of "&amp;K50)),IF(C50="","Add a party size",IF(COUNTIFS($K$4:$K$403,B50,$A$4:$A$403,"Plus one")&gt;C50-1,"More plus ones than party size",IF(AND(OR(D50="WhatsApp",D50="Both"),E50=""),"Add a phone number",IF(AND(OR(D50="Email",D50="Both"),F50=""),"Add an email",IF(AND(F50&lt;&gt;"",ISERROR(SEARCH("@",F50))),"Check the email","✓ Ready")))))))</f>
      </c>
      <c r="K50">
        <f>IF(A50="Plus one",K49,B50)</f>
      </c>
    </row>
    <row r="51" spans="1:11" x14ac:dyDescent="0.25">
      <c r="A51" s="13" t="s">
        <v>22</v>
      </c>
      <c r="B51" s="13"/>
      <c r="C51" s="14"/>
      <c r="D51" s="13"/>
      <c r="E51" s="15"/>
      <c r="F51" s="13"/>
      <c r="G51" s="13"/>
      <c r="H51" s="13"/>
      <c r="I51" s="13"/>
      <c r="J51" s="12">
        <f>IF(B51="",IF(AND(A51="Plus one",K51&lt;&gt;""),"↳ Plus one of "&amp;K51&amp;" (name TBC)",""),IF(A51="Plus one",IF(C51&lt;&gt;"","Leave party size empty",IF(K51="","Put it under a main guest","↳ Plus one of "&amp;K51)),IF(C51="","Add a party size",IF(COUNTIFS($K$4:$K$403,B51,$A$4:$A$403,"Plus one")&gt;C51-1,"More plus ones than party size",IF(AND(OR(D51="WhatsApp",D51="Both"),E51=""),"Add a phone number",IF(AND(OR(D51="Email",D51="Both"),F51=""),"Add an email",IF(AND(F51&lt;&gt;"",ISERROR(SEARCH("@",F51))),"Check the email","✓ Ready")))))))</f>
      </c>
      <c r="K51">
        <f>IF(A51="Plus one",K50,B51)</f>
      </c>
    </row>
    <row r="52" spans="1:11" x14ac:dyDescent="0.25">
      <c r="A52" s="16" t="s">
        <v>22</v>
      </c>
      <c r="B52" s="16"/>
      <c r="C52" s="17"/>
      <c r="D52" s="16"/>
      <c r="E52" s="18"/>
      <c r="F52" s="16"/>
      <c r="G52" s="16"/>
      <c r="H52" s="16"/>
      <c r="I52" s="16"/>
      <c r="J52" s="8">
        <f>IF(B52="",IF(AND(A52="Plus one",K52&lt;&gt;""),"↳ Plus one of "&amp;K52&amp;" (name TBC)",""),IF(A52="Plus one",IF(C52&lt;&gt;"","Leave party size empty",IF(K52="","Put it under a main guest","↳ Plus one of "&amp;K52)),IF(C52="","Add a party size",IF(COUNTIFS($K$4:$K$403,B52,$A$4:$A$403,"Plus one")&gt;C52-1,"More plus ones than party size",IF(AND(OR(D52="WhatsApp",D52="Both"),E52=""),"Add a phone number",IF(AND(OR(D52="Email",D52="Both"),F52=""),"Add an email",IF(AND(F52&lt;&gt;"",ISERROR(SEARCH("@",F52))),"Check the email","✓ Ready")))))))</f>
      </c>
      <c r="K52">
        <f>IF(A52="Plus one",K51,B52)</f>
      </c>
    </row>
    <row r="53" spans="1:11" x14ac:dyDescent="0.25">
      <c r="A53" s="13" t="s">
        <v>22</v>
      </c>
      <c r="B53" s="13"/>
      <c r="C53" s="14"/>
      <c r="D53" s="13"/>
      <c r="E53" s="15"/>
      <c r="F53" s="13"/>
      <c r="G53" s="13"/>
      <c r="H53" s="13"/>
      <c r="I53" s="13"/>
      <c r="J53" s="12">
        <f>IF(B53="",IF(AND(A53="Plus one",K53&lt;&gt;""),"↳ Plus one of "&amp;K53&amp;" (name TBC)",""),IF(A53="Plus one",IF(C53&lt;&gt;"","Leave party size empty",IF(K53="","Put it under a main guest","↳ Plus one of "&amp;K53)),IF(C53="","Add a party size",IF(COUNTIFS($K$4:$K$403,B53,$A$4:$A$403,"Plus one")&gt;C53-1,"More plus ones than party size",IF(AND(OR(D53="WhatsApp",D53="Both"),E53=""),"Add a phone number",IF(AND(OR(D53="Email",D53="Both"),F53=""),"Add an email",IF(AND(F53&lt;&gt;"",ISERROR(SEARCH("@",F53))),"Check the email","✓ Ready")))))))</f>
      </c>
      <c r="K53">
        <f>IF(A53="Plus one",K52,B53)</f>
      </c>
    </row>
    <row r="54" spans="1:11" x14ac:dyDescent="0.25">
      <c r="A54" s="16" t="s">
        <v>22</v>
      </c>
      <c r="B54" s="16"/>
      <c r="C54" s="17"/>
      <c r="D54" s="16"/>
      <c r="E54" s="18"/>
      <c r="F54" s="16"/>
      <c r="G54" s="16"/>
      <c r="H54" s="16"/>
      <c r="I54" s="16"/>
      <c r="J54" s="8">
        <f>IF(B54="",IF(AND(A54="Plus one",K54&lt;&gt;""),"↳ Plus one of "&amp;K54&amp;" (name TBC)",""),IF(A54="Plus one",IF(C54&lt;&gt;"","Leave party size empty",IF(K54="","Put it under a main guest","↳ Plus one of "&amp;K54)),IF(C54="","Add a party size",IF(COUNTIFS($K$4:$K$403,B54,$A$4:$A$403,"Plus one")&gt;C54-1,"More plus ones than party size",IF(AND(OR(D54="WhatsApp",D54="Both"),E54=""),"Add a phone number",IF(AND(OR(D54="Email",D54="Both"),F54=""),"Add an email",IF(AND(F54&lt;&gt;"",ISERROR(SEARCH("@",F54))),"Check the email","✓ Ready")))))))</f>
      </c>
      <c r="K54">
        <f>IF(A54="Plus one",K53,B54)</f>
      </c>
    </row>
    <row r="55" spans="1:11" x14ac:dyDescent="0.25">
      <c r="A55" s="13" t="s">
        <v>22</v>
      </c>
      <c r="B55" s="13"/>
      <c r="C55" s="14"/>
      <c r="D55" s="13"/>
      <c r="E55" s="15"/>
      <c r="F55" s="13"/>
      <c r="G55" s="13"/>
      <c r="H55" s="13"/>
      <c r="I55" s="13"/>
      <c r="J55" s="12">
        <f>IF(B55="",IF(AND(A55="Plus one",K55&lt;&gt;""),"↳ Plus one of "&amp;K55&amp;" (name TBC)",""),IF(A55="Plus one",IF(C55&lt;&gt;"","Leave party size empty",IF(K55="","Put it under a main guest","↳ Plus one of "&amp;K55)),IF(C55="","Add a party size",IF(COUNTIFS($K$4:$K$403,B55,$A$4:$A$403,"Plus one")&gt;C55-1,"More plus ones than party size",IF(AND(OR(D55="WhatsApp",D55="Both"),E55=""),"Add a phone number",IF(AND(OR(D55="Email",D55="Both"),F55=""),"Add an email",IF(AND(F55&lt;&gt;"",ISERROR(SEARCH("@",F55))),"Check the email","✓ Ready")))))))</f>
      </c>
      <c r="K55">
        <f>IF(A55="Plus one",K54,B55)</f>
      </c>
    </row>
    <row r="56" spans="1:11" x14ac:dyDescent="0.25">
      <c r="A56" s="16" t="s">
        <v>22</v>
      </c>
      <c r="B56" s="16"/>
      <c r="C56" s="17"/>
      <c r="D56" s="16"/>
      <c r="E56" s="18"/>
      <c r="F56" s="16"/>
      <c r="G56" s="16"/>
      <c r="H56" s="16"/>
      <c r="I56" s="16"/>
      <c r="J56" s="8">
        <f>IF(B56="",IF(AND(A56="Plus one",K56&lt;&gt;""),"↳ Plus one of "&amp;K56&amp;" (name TBC)",""),IF(A56="Plus one",IF(C56&lt;&gt;"","Leave party size empty",IF(K56="","Put it under a main guest","↳ Plus one of "&amp;K56)),IF(C56="","Add a party size",IF(COUNTIFS($K$4:$K$403,B56,$A$4:$A$403,"Plus one")&gt;C56-1,"More plus ones than party size",IF(AND(OR(D56="WhatsApp",D56="Both"),E56=""),"Add a phone number",IF(AND(OR(D56="Email",D56="Both"),F56=""),"Add an email",IF(AND(F56&lt;&gt;"",ISERROR(SEARCH("@",F56))),"Check the email","✓ Ready")))))))</f>
      </c>
      <c r="K56">
        <f>IF(A56="Plus one",K55,B56)</f>
      </c>
    </row>
    <row r="57" spans="1:11" x14ac:dyDescent="0.25">
      <c r="A57" s="13" t="s">
        <v>22</v>
      </c>
      <c r="B57" s="13"/>
      <c r="C57" s="14"/>
      <c r="D57" s="13"/>
      <c r="E57" s="15"/>
      <c r="F57" s="13"/>
      <c r="G57" s="13"/>
      <c r="H57" s="13"/>
      <c r="I57" s="13"/>
      <c r="J57" s="12">
        <f>IF(B57="",IF(AND(A57="Plus one",K57&lt;&gt;""),"↳ Plus one of "&amp;K57&amp;" (name TBC)",""),IF(A57="Plus one",IF(C57&lt;&gt;"","Leave party size empty",IF(K57="","Put it under a main guest","↳ Plus one of "&amp;K57)),IF(C57="","Add a party size",IF(COUNTIFS($K$4:$K$403,B57,$A$4:$A$403,"Plus one")&gt;C57-1,"More plus ones than party size",IF(AND(OR(D57="WhatsApp",D57="Both"),E57=""),"Add a phone number",IF(AND(OR(D57="Email",D57="Both"),F57=""),"Add an email",IF(AND(F57&lt;&gt;"",ISERROR(SEARCH("@",F57))),"Check the email","✓ Ready")))))))</f>
      </c>
      <c r="K57">
        <f>IF(A57="Plus one",K56,B57)</f>
      </c>
    </row>
    <row r="58" spans="1:11" x14ac:dyDescent="0.25">
      <c r="A58" s="16" t="s">
        <v>22</v>
      </c>
      <c r="B58" s="16"/>
      <c r="C58" s="17"/>
      <c r="D58" s="16"/>
      <c r="E58" s="18"/>
      <c r="F58" s="16"/>
      <c r="G58" s="16"/>
      <c r="H58" s="16"/>
      <c r="I58" s="16"/>
      <c r="J58" s="8">
        <f>IF(B58="",IF(AND(A58="Plus one",K58&lt;&gt;""),"↳ Plus one of "&amp;K58&amp;" (name TBC)",""),IF(A58="Plus one",IF(C58&lt;&gt;"","Leave party size empty",IF(K58="","Put it under a main guest","↳ Plus one of "&amp;K58)),IF(C58="","Add a party size",IF(COUNTIFS($K$4:$K$403,B58,$A$4:$A$403,"Plus one")&gt;C58-1,"More plus ones than party size",IF(AND(OR(D58="WhatsApp",D58="Both"),E58=""),"Add a phone number",IF(AND(OR(D58="Email",D58="Both"),F58=""),"Add an email",IF(AND(F58&lt;&gt;"",ISERROR(SEARCH("@",F58))),"Check the email","✓ Ready")))))))</f>
      </c>
      <c r="K58">
        <f>IF(A58="Plus one",K57,B58)</f>
      </c>
    </row>
    <row r="59" spans="1:11" x14ac:dyDescent="0.25">
      <c r="A59" s="13" t="s">
        <v>22</v>
      </c>
      <c r="B59" s="13"/>
      <c r="C59" s="14"/>
      <c r="D59" s="13"/>
      <c r="E59" s="15"/>
      <c r="F59" s="13"/>
      <c r="G59" s="13"/>
      <c r="H59" s="13"/>
      <c r="I59" s="13"/>
      <c r="J59" s="12">
        <f>IF(B59="",IF(AND(A59="Plus one",K59&lt;&gt;""),"↳ Plus one of "&amp;K59&amp;" (name TBC)",""),IF(A59="Plus one",IF(C59&lt;&gt;"","Leave party size empty",IF(K59="","Put it under a main guest","↳ Plus one of "&amp;K59)),IF(C59="","Add a party size",IF(COUNTIFS($K$4:$K$403,B59,$A$4:$A$403,"Plus one")&gt;C59-1,"More plus ones than party size",IF(AND(OR(D59="WhatsApp",D59="Both"),E59=""),"Add a phone number",IF(AND(OR(D59="Email",D59="Both"),F59=""),"Add an email",IF(AND(F59&lt;&gt;"",ISERROR(SEARCH("@",F59))),"Check the email","✓ Ready")))))))</f>
      </c>
      <c r="K59">
        <f>IF(A59="Plus one",K58,B59)</f>
      </c>
    </row>
    <row r="60" spans="1:11" x14ac:dyDescent="0.25">
      <c r="A60" s="16" t="s">
        <v>22</v>
      </c>
      <c r="B60" s="16"/>
      <c r="C60" s="17"/>
      <c r="D60" s="16"/>
      <c r="E60" s="18"/>
      <c r="F60" s="16"/>
      <c r="G60" s="16"/>
      <c r="H60" s="16"/>
      <c r="I60" s="16"/>
      <c r="J60" s="8">
        <f>IF(B60="",IF(AND(A60="Plus one",K60&lt;&gt;""),"↳ Plus one of "&amp;K60&amp;" (name TBC)",""),IF(A60="Plus one",IF(C60&lt;&gt;"","Leave party size empty",IF(K60="","Put it under a main guest","↳ Plus one of "&amp;K60)),IF(C60="","Add a party size",IF(COUNTIFS($K$4:$K$403,B60,$A$4:$A$403,"Plus one")&gt;C60-1,"More plus ones than party size",IF(AND(OR(D60="WhatsApp",D60="Both"),E60=""),"Add a phone number",IF(AND(OR(D60="Email",D60="Both"),F60=""),"Add an email",IF(AND(F60&lt;&gt;"",ISERROR(SEARCH("@",F60))),"Check the email","✓ Ready")))))))</f>
      </c>
      <c r="K60">
        <f>IF(A60="Plus one",K59,B60)</f>
      </c>
    </row>
    <row r="61" spans="1:11" x14ac:dyDescent="0.25">
      <c r="A61" s="13" t="s">
        <v>22</v>
      </c>
      <c r="B61" s="13"/>
      <c r="C61" s="14"/>
      <c r="D61" s="13"/>
      <c r="E61" s="15"/>
      <c r="F61" s="13"/>
      <c r="G61" s="13"/>
      <c r="H61" s="13"/>
      <c r="I61" s="13"/>
      <c r="J61" s="12">
        <f>IF(B61="",IF(AND(A61="Plus one",K61&lt;&gt;""),"↳ Plus one of "&amp;K61&amp;" (name TBC)",""),IF(A61="Plus one",IF(C61&lt;&gt;"","Leave party size empty",IF(K61="","Put it under a main guest","↳ Plus one of "&amp;K61)),IF(C61="","Add a party size",IF(COUNTIFS($K$4:$K$403,B61,$A$4:$A$403,"Plus one")&gt;C61-1,"More plus ones than party size",IF(AND(OR(D61="WhatsApp",D61="Both"),E61=""),"Add a phone number",IF(AND(OR(D61="Email",D61="Both"),F61=""),"Add an email",IF(AND(F61&lt;&gt;"",ISERROR(SEARCH("@",F61))),"Check the email","✓ Ready")))))))</f>
      </c>
      <c r="K61">
        <f>IF(A61="Plus one",K60,B61)</f>
      </c>
    </row>
    <row r="62" spans="1:11" x14ac:dyDescent="0.25">
      <c r="A62" s="16" t="s">
        <v>22</v>
      </c>
      <c r="B62" s="16"/>
      <c r="C62" s="17"/>
      <c r="D62" s="16"/>
      <c r="E62" s="18"/>
      <c r="F62" s="16"/>
      <c r="G62" s="16"/>
      <c r="H62" s="16"/>
      <c r="I62" s="16"/>
      <c r="J62" s="8">
        <f>IF(B62="",IF(AND(A62="Plus one",K62&lt;&gt;""),"↳ Plus one of "&amp;K62&amp;" (name TBC)",""),IF(A62="Plus one",IF(C62&lt;&gt;"","Leave party size empty",IF(K62="","Put it under a main guest","↳ Plus one of "&amp;K62)),IF(C62="","Add a party size",IF(COUNTIFS($K$4:$K$403,B62,$A$4:$A$403,"Plus one")&gt;C62-1,"More plus ones than party size",IF(AND(OR(D62="WhatsApp",D62="Both"),E62=""),"Add a phone number",IF(AND(OR(D62="Email",D62="Both"),F62=""),"Add an email",IF(AND(F62&lt;&gt;"",ISERROR(SEARCH("@",F62))),"Check the email","✓ Ready")))))))</f>
      </c>
      <c r="K62">
        <f>IF(A62="Plus one",K61,B62)</f>
      </c>
    </row>
    <row r="63" spans="1:11" x14ac:dyDescent="0.25">
      <c r="A63" s="13" t="s">
        <v>22</v>
      </c>
      <c r="B63" s="13"/>
      <c r="C63" s="14"/>
      <c r="D63" s="13"/>
      <c r="E63" s="15"/>
      <c r="F63" s="13"/>
      <c r="G63" s="13"/>
      <c r="H63" s="13"/>
      <c r="I63" s="13"/>
      <c r="J63" s="12">
        <f>IF(B63="",IF(AND(A63="Plus one",K63&lt;&gt;""),"↳ Plus one of "&amp;K63&amp;" (name TBC)",""),IF(A63="Plus one",IF(C63&lt;&gt;"","Leave party size empty",IF(K63="","Put it under a main guest","↳ Plus one of "&amp;K63)),IF(C63="","Add a party size",IF(COUNTIFS($K$4:$K$403,B63,$A$4:$A$403,"Plus one")&gt;C63-1,"More plus ones than party size",IF(AND(OR(D63="WhatsApp",D63="Both"),E63=""),"Add a phone number",IF(AND(OR(D63="Email",D63="Both"),F63=""),"Add an email",IF(AND(F63&lt;&gt;"",ISERROR(SEARCH("@",F63))),"Check the email","✓ Ready")))))))</f>
      </c>
      <c r="K63">
        <f>IF(A63="Plus one",K62,B63)</f>
      </c>
    </row>
    <row r="64" spans="1:11" x14ac:dyDescent="0.25">
      <c r="A64" s="16" t="s">
        <v>22</v>
      </c>
      <c r="B64" s="16"/>
      <c r="C64" s="17"/>
      <c r="D64" s="16"/>
      <c r="E64" s="18"/>
      <c r="F64" s="16"/>
      <c r="G64" s="16"/>
      <c r="H64" s="16"/>
      <c r="I64" s="16"/>
      <c r="J64" s="8">
        <f>IF(B64="",IF(AND(A64="Plus one",K64&lt;&gt;""),"↳ Plus one of "&amp;K64&amp;" (name TBC)",""),IF(A64="Plus one",IF(C64&lt;&gt;"","Leave party size empty",IF(K64="","Put it under a main guest","↳ Plus one of "&amp;K64)),IF(C64="","Add a party size",IF(COUNTIFS($K$4:$K$403,B64,$A$4:$A$403,"Plus one")&gt;C64-1,"More plus ones than party size",IF(AND(OR(D64="WhatsApp",D64="Both"),E64=""),"Add a phone number",IF(AND(OR(D64="Email",D64="Both"),F64=""),"Add an email",IF(AND(F64&lt;&gt;"",ISERROR(SEARCH("@",F64))),"Check the email","✓ Ready")))))))</f>
      </c>
      <c r="K64">
        <f>IF(A64="Plus one",K63,B64)</f>
      </c>
    </row>
    <row r="65" spans="1:11" x14ac:dyDescent="0.25">
      <c r="A65" s="13" t="s">
        <v>22</v>
      </c>
      <c r="B65" s="13"/>
      <c r="C65" s="14"/>
      <c r="D65" s="13"/>
      <c r="E65" s="15"/>
      <c r="F65" s="13"/>
      <c r="G65" s="13"/>
      <c r="H65" s="13"/>
      <c r="I65" s="13"/>
      <c r="J65" s="12">
        <f>IF(B65="",IF(AND(A65="Plus one",K65&lt;&gt;""),"↳ Plus one of "&amp;K65&amp;" (name TBC)",""),IF(A65="Plus one",IF(C65&lt;&gt;"","Leave party size empty",IF(K65="","Put it under a main guest","↳ Plus one of "&amp;K65)),IF(C65="","Add a party size",IF(COUNTIFS($K$4:$K$403,B65,$A$4:$A$403,"Plus one")&gt;C65-1,"More plus ones than party size",IF(AND(OR(D65="WhatsApp",D65="Both"),E65=""),"Add a phone number",IF(AND(OR(D65="Email",D65="Both"),F65=""),"Add an email",IF(AND(F65&lt;&gt;"",ISERROR(SEARCH("@",F65))),"Check the email","✓ Ready")))))))</f>
      </c>
      <c r="K65">
        <f>IF(A65="Plus one",K64,B65)</f>
      </c>
    </row>
    <row r="66" spans="1:11" x14ac:dyDescent="0.25">
      <c r="A66" s="16" t="s">
        <v>22</v>
      </c>
      <c r="B66" s="16"/>
      <c r="C66" s="17"/>
      <c r="D66" s="16"/>
      <c r="E66" s="18"/>
      <c r="F66" s="16"/>
      <c r="G66" s="16"/>
      <c r="H66" s="16"/>
      <c r="I66" s="16"/>
      <c r="J66" s="8">
        <f>IF(B66="",IF(AND(A66="Plus one",K66&lt;&gt;""),"↳ Plus one of "&amp;K66&amp;" (name TBC)",""),IF(A66="Plus one",IF(C66&lt;&gt;"","Leave party size empty",IF(K66="","Put it under a main guest","↳ Plus one of "&amp;K66)),IF(C66="","Add a party size",IF(COUNTIFS($K$4:$K$403,B66,$A$4:$A$403,"Plus one")&gt;C66-1,"More plus ones than party size",IF(AND(OR(D66="WhatsApp",D66="Both"),E66=""),"Add a phone number",IF(AND(OR(D66="Email",D66="Both"),F66=""),"Add an email",IF(AND(F66&lt;&gt;"",ISERROR(SEARCH("@",F66))),"Check the email","✓ Ready")))))))</f>
      </c>
      <c r="K66">
        <f>IF(A66="Plus one",K65,B66)</f>
      </c>
    </row>
    <row r="67" spans="1:11" x14ac:dyDescent="0.25">
      <c r="A67" s="13" t="s">
        <v>22</v>
      </c>
      <c r="B67" s="13"/>
      <c r="C67" s="14"/>
      <c r="D67" s="13"/>
      <c r="E67" s="15"/>
      <c r="F67" s="13"/>
      <c r="G67" s="13"/>
      <c r="H67" s="13"/>
      <c r="I67" s="13"/>
      <c r="J67" s="12">
        <f>IF(B67="",IF(AND(A67="Plus one",K67&lt;&gt;""),"↳ Plus one of "&amp;K67&amp;" (name TBC)",""),IF(A67="Plus one",IF(C67&lt;&gt;"","Leave party size empty",IF(K67="","Put it under a main guest","↳ Plus one of "&amp;K67)),IF(C67="","Add a party size",IF(COUNTIFS($K$4:$K$403,B67,$A$4:$A$403,"Plus one")&gt;C67-1,"More plus ones than party size",IF(AND(OR(D67="WhatsApp",D67="Both"),E67=""),"Add a phone number",IF(AND(OR(D67="Email",D67="Both"),F67=""),"Add an email",IF(AND(F67&lt;&gt;"",ISERROR(SEARCH("@",F67))),"Check the email","✓ Ready")))))))</f>
      </c>
      <c r="K67">
        <f>IF(A67="Plus one",K66,B67)</f>
      </c>
    </row>
    <row r="68" spans="1:11" x14ac:dyDescent="0.25">
      <c r="A68" s="16" t="s">
        <v>22</v>
      </c>
      <c r="B68" s="16"/>
      <c r="C68" s="17"/>
      <c r="D68" s="16"/>
      <c r="E68" s="18"/>
      <c r="F68" s="16"/>
      <c r="G68" s="16"/>
      <c r="H68" s="16"/>
      <c r="I68" s="16"/>
      <c r="J68" s="8">
        <f>IF(B68="",IF(AND(A68="Plus one",K68&lt;&gt;""),"↳ Plus one of "&amp;K68&amp;" (name TBC)",""),IF(A68="Plus one",IF(C68&lt;&gt;"","Leave party size empty",IF(K68="","Put it under a main guest","↳ Plus one of "&amp;K68)),IF(C68="","Add a party size",IF(COUNTIFS($K$4:$K$403,B68,$A$4:$A$403,"Plus one")&gt;C68-1,"More plus ones than party size",IF(AND(OR(D68="WhatsApp",D68="Both"),E68=""),"Add a phone number",IF(AND(OR(D68="Email",D68="Both"),F68=""),"Add an email",IF(AND(F68&lt;&gt;"",ISERROR(SEARCH("@",F68))),"Check the email","✓ Ready")))))))</f>
      </c>
      <c r="K68">
        <f>IF(A68="Plus one",K67,B68)</f>
      </c>
    </row>
    <row r="69" spans="1:11" x14ac:dyDescent="0.25">
      <c r="A69" s="13" t="s">
        <v>22</v>
      </c>
      <c r="B69" s="13"/>
      <c r="C69" s="14"/>
      <c r="D69" s="13"/>
      <c r="E69" s="15"/>
      <c r="F69" s="13"/>
      <c r="G69" s="13"/>
      <c r="H69" s="13"/>
      <c r="I69" s="13"/>
      <c r="J69" s="12">
        <f>IF(B69="",IF(AND(A69="Plus one",K69&lt;&gt;""),"↳ Plus one of "&amp;K69&amp;" (name TBC)",""),IF(A69="Plus one",IF(C69&lt;&gt;"","Leave party size empty",IF(K69="","Put it under a main guest","↳ Plus one of "&amp;K69)),IF(C69="","Add a party size",IF(COUNTIFS($K$4:$K$403,B69,$A$4:$A$403,"Plus one")&gt;C69-1,"More plus ones than party size",IF(AND(OR(D69="WhatsApp",D69="Both"),E69=""),"Add a phone number",IF(AND(OR(D69="Email",D69="Both"),F69=""),"Add an email",IF(AND(F69&lt;&gt;"",ISERROR(SEARCH("@",F69))),"Check the email","✓ Ready")))))))</f>
      </c>
      <c r="K69">
        <f>IF(A69="Plus one",K68,B69)</f>
      </c>
    </row>
    <row r="70" spans="1:11" x14ac:dyDescent="0.25">
      <c r="A70" s="16" t="s">
        <v>22</v>
      </c>
      <c r="B70" s="16"/>
      <c r="C70" s="17"/>
      <c r="D70" s="16"/>
      <c r="E70" s="18"/>
      <c r="F70" s="16"/>
      <c r="G70" s="16"/>
      <c r="H70" s="16"/>
      <c r="I70" s="16"/>
      <c r="J70" s="8">
        <f>IF(B70="",IF(AND(A70="Plus one",K70&lt;&gt;""),"↳ Plus one of "&amp;K70&amp;" (name TBC)",""),IF(A70="Plus one",IF(C70&lt;&gt;"","Leave party size empty",IF(K70="","Put it under a main guest","↳ Plus one of "&amp;K70)),IF(C70="","Add a party size",IF(COUNTIFS($K$4:$K$403,B70,$A$4:$A$403,"Plus one")&gt;C70-1,"More plus ones than party size",IF(AND(OR(D70="WhatsApp",D70="Both"),E70=""),"Add a phone number",IF(AND(OR(D70="Email",D70="Both"),F70=""),"Add an email",IF(AND(F70&lt;&gt;"",ISERROR(SEARCH("@",F70))),"Check the email","✓ Ready")))))))</f>
      </c>
      <c r="K70">
        <f>IF(A70="Plus one",K69,B70)</f>
      </c>
    </row>
    <row r="71" spans="1:11" x14ac:dyDescent="0.25">
      <c r="A71" s="13" t="s">
        <v>22</v>
      </c>
      <c r="B71" s="13"/>
      <c r="C71" s="14"/>
      <c r="D71" s="13"/>
      <c r="E71" s="15"/>
      <c r="F71" s="13"/>
      <c r="G71" s="13"/>
      <c r="H71" s="13"/>
      <c r="I71" s="13"/>
      <c r="J71" s="12">
        <f>IF(B71="",IF(AND(A71="Plus one",K71&lt;&gt;""),"↳ Plus one of "&amp;K71&amp;" (name TBC)",""),IF(A71="Plus one",IF(C71&lt;&gt;"","Leave party size empty",IF(K71="","Put it under a main guest","↳ Plus one of "&amp;K71)),IF(C71="","Add a party size",IF(COUNTIFS($K$4:$K$403,B71,$A$4:$A$403,"Plus one")&gt;C71-1,"More plus ones than party size",IF(AND(OR(D71="WhatsApp",D71="Both"),E71=""),"Add a phone number",IF(AND(OR(D71="Email",D71="Both"),F71=""),"Add an email",IF(AND(F71&lt;&gt;"",ISERROR(SEARCH("@",F71))),"Check the email","✓ Ready")))))))</f>
      </c>
      <c r="K71">
        <f>IF(A71="Plus one",K70,B71)</f>
      </c>
    </row>
    <row r="72" spans="1:11" x14ac:dyDescent="0.25">
      <c r="A72" s="16" t="s">
        <v>22</v>
      </c>
      <c r="B72" s="16"/>
      <c r="C72" s="17"/>
      <c r="D72" s="16"/>
      <c r="E72" s="18"/>
      <c r="F72" s="16"/>
      <c r="G72" s="16"/>
      <c r="H72" s="16"/>
      <c r="I72" s="16"/>
      <c r="J72" s="8">
        <f>IF(B72="",IF(AND(A72="Plus one",K72&lt;&gt;""),"↳ Plus one of "&amp;K72&amp;" (name TBC)",""),IF(A72="Plus one",IF(C72&lt;&gt;"","Leave party size empty",IF(K72="","Put it under a main guest","↳ Plus one of "&amp;K72)),IF(C72="","Add a party size",IF(COUNTIFS($K$4:$K$403,B72,$A$4:$A$403,"Plus one")&gt;C72-1,"More plus ones than party size",IF(AND(OR(D72="WhatsApp",D72="Both"),E72=""),"Add a phone number",IF(AND(OR(D72="Email",D72="Both"),F72=""),"Add an email",IF(AND(F72&lt;&gt;"",ISERROR(SEARCH("@",F72))),"Check the email","✓ Ready")))))))</f>
      </c>
      <c r="K72">
        <f>IF(A72="Plus one",K71,B72)</f>
      </c>
    </row>
    <row r="73" spans="1:11" x14ac:dyDescent="0.25">
      <c r="A73" s="13" t="s">
        <v>22</v>
      </c>
      <c r="B73" s="13"/>
      <c r="C73" s="14"/>
      <c r="D73" s="13"/>
      <c r="E73" s="15"/>
      <c r="F73" s="13"/>
      <c r="G73" s="13"/>
      <c r="H73" s="13"/>
      <c r="I73" s="13"/>
      <c r="J73" s="12">
        <f>IF(B73="",IF(AND(A73="Plus one",K73&lt;&gt;""),"↳ Plus one of "&amp;K73&amp;" (name TBC)",""),IF(A73="Plus one",IF(C73&lt;&gt;"","Leave party size empty",IF(K73="","Put it under a main guest","↳ Plus one of "&amp;K73)),IF(C73="","Add a party size",IF(COUNTIFS($K$4:$K$403,B73,$A$4:$A$403,"Plus one")&gt;C73-1,"More plus ones than party size",IF(AND(OR(D73="WhatsApp",D73="Both"),E73=""),"Add a phone number",IF(AND(OR(D73="Email",D73="Both"),F73=""),"Add an email",IF(AND(F73&lt;&gt;"",ISERROR(SEARCH("@",F73))),"Check the email","✓ Ready")))))))</f>
      </c>
      <c r="K73">
        <f>IF(A73="Plus one",K72,B73)</f>
      </c>
    </row>
    <row r="74" spans="1:11" x14ac:dyDescent="0.25">
      <c r="A74" s="16" t="s">
        <v>22</v>
      </c>
      <c r="B74" s="16"/>
      <c r="C74" s="17"/>
      <c r="D74" s="16"/>
      <c r="E74" s="18"/>
      <c r="F74" s="16"/>
      <c r="G74" s="16"/>
      <c r="H74" s="16"/>
      <c r="I74" s="16"/>
      <c r="J74" s="8">
        <f>IF(B74="",IF(AND(A74="Plus one",K74&lt;&gt;""),"↳ Plus one of "&amp;K74&amp;" (name TBC)",""),IF(A74="Plus one",IF(C74&lt;&gt;"","Leave party size empty",IF(K74="","Put it under a main guest","↳ Plus one of "&amp;K74)),IF(C74="","Add a party size",IF(COUNTIFS($K$4:$K$403,B74,$A$4:$A$403,"Plus one")&gt;C74-1,"More plus ones than party size",IF(AND(OR(D74="WhatsApp",D74="Both"),E74=""),"Add a phone number",IF(AND(OR(D74="Email",D74="Both"),F74=""),"Add an email",IF(AND(F74&lt;&gt;"",ISERROR(SEARCH("@",F74))),"Check the email","✓ Ready")))))))</f>
      </c>
      <c r="K74">
        <f>IF(A74="Plus one",K73,B74)</f>
      </c>
    </row>
    <row r="75" spans="1:11" x14ac:dyDescent="0.25">
      <c r="A75" s="13" t="s">
        <v>22</v>
      </c>
      <c r="B75" s="13"/>
      <c r="C75" s="14"/>
      <c r="D75" s="13"/>
      <c r="E75" s="15"/>
      <c r="F75" s="13"/>
      <c r="G75" s="13"/>
      <c r="H75" s="13"/>
      <c r="I75" s="13"/>
      <c r="J75" s="12">
        <f>IF(B75="",IF(AND(A75="Plus one",K75&lt;&gt;""),"↳ Plus one of "&amp;K75&amp;" (name TBC)",""),IF(A75="Plus one",IF(C75&lt;&gt;"","Leave party size empty",IF(K75="","Put it under a main guest","↳ Plus one of "&amp;K75)),IF(C75="","Add a party size",IF(COUNTIFS($K$4:$K$403,B75,$A$4:$A$403,"Plus one")&gt;C75-1,"More plus ones than party size",IF(AND(OR(D75="WhatsApp",D75="Both"),E75=""),"Add a phone number",IF(AND(OR(D75="Email",D75="Both"),F75=""),"Add an email",IF(AND(F75&lt;&gt;"",ISERROR(SEARCH("@",F75))),"Check the email","✓ Ready")))))))</f>
      </c>
      <c r="K75">
        <f>IF(A75="Plus one",K74,B75)</f>
      </c>
    </row>
    <row r="76" spans="1:11" x14ac:dyDescent="0.25">
      <c r="A76" s="16" t="s">
        <v>22</v>
      </c>
      <c r="B76" s="16"/>
      <c r="C76" s="17"/>
      <c r="D76" s="16"/>
      <c r="E76" s="18"/>
      <c r="F76" s="16"/>
      <c r="G76" s="16"/>
      <c r="H76" s="16"/>
      <c r="I76" s="16"/>
      <c r="J76" s="8">
        <f>IF(B76="",IF(AND(A76="Plus one",K76&lt;&gt;""),"↳ Plus one of "&amp;K76&amp;" (name TBC)",""),IF(A76="Plus one",IF(C76&lt;&gt;"","Leave party size empty",IF(K76="","Put it under a main guest","↳ Plus one of "&amp;K76)),IF(C76="","Add a party size",IF(COUNTIFS($K$4:$K$403,B76,$A$4:$A$403,"Plus one")&gt;C76-1,"More plus ones than party size",IF(AND(OR(D76="WhatsApp",D76="Both"),E76=""),"Add a phone number",IF(AND(OR(D76="Email",D76="Both"),F76=""),"Add an email",IF(AND(F76&lt;&gt;"",ISERROR(SEARCH("@",F76))),"Check the email","✓ Ready")))))))</f>
      </c>
      <c r="K76">
        <f>IF(A76="Plus one",K75,B76)</f>
      </c>
    </row>
    <row r="77" spans="1:11" x14ac:dyDescent="0.25">
      <c r="A77" s="13" t="s">
        <v>22</v>
      </c>
      <c r="B77" s="13"/>
      <c r="C77" s="14"/>
      <c r="D77" s="13"/>
      <c r="E77" s="15"/>
      <c r="F77" s="13"/>
      <c r="G77" s="13"/>
      <c r="H77" s="13"/>
      <c r="I77" s="13"/>
      <c r="J77" s="12">
        <f>IF(B77="",IF(AND(A77="Plus one",K77&lt;&gt;""),"↳ Plus one of "&amp;K77&amp;" (name TBC)",""),IF(A77="Plus one",IF(C77&lt;&gt;"","Leave party size empty",IF(K77="","Put it under a main guest","↳ Plus one of "&amp;K77)),IF(C77="","Add a party size",IF(COUNTIFS($K$4:$K$403,B77,$A$4:$A$403,"Plus one")&gt;C77-1,"More plus ones than party size",IF(AND(OR(D77="WhatsApp",D77="Both"),E77=""),"Add a phone number",IF(AND(OR(D77="Email",D77="Both"),F77=""),"Add an email",IF(AND(F77&lt;&gt;"",ISERROR(SEARCH("@",F77))),"Check the email","✓ Ready")))))))</f>
      </c>
      <c r="K77">
        <f>IF(A77="Plus one",K76,B77)</f>
      </c>
    </row>
    <row r="78" spans="1:11" x14ac:dyDescent="0.25">
      <c r="A78" s="16" t="s">
        <v>22</v>
      </c>
      <c r="B78" s="16"/>
      <c r="C78" s="17"/>
      <c r="D78" s="16"/>
      <c r="E78" s="18"/>
      <c r="F78" s="16"/>
      <c r="G78" s="16"/>
      <c r="H78" s="16"/>
      <c r="I78" s="16"/>
      <c r="J78" s="8">
        <f>IF(B78="",IF(AND(A78="Plus one",K78&lt;&gt;""),"↳ Plus one of "&amp;K78&amp;" (name TBC)",""),IF(A78="Plus one",IF(C78&lt;&gt;"","Leave party size empty",IF(K78="","Put it under a main guest","↳ Plus one of "&amp;K78)),IF(C78="","Add a party size",IF(COUNTIFS($K$4:$K$403,B78,$A$4:$A$403,"Plus one")&gt;C78-1,"More plus ones than party size",IF(AND(OR(D78="WhatsApp",D78="Both"),E78=""),"Add a phone number",IF(AND(OR(D78="Email",D78="Both"),F78=""),"Add an email",IF(AND(F78&lt;&gt;"",ISERROR(SEARCH("@",F78))),"Check the email","✓ Ready")))))))</f>
      </c>
      <c r="K78">
        <f>IF(A78="Plus one",K77,B78)</f>
      </c>
    </row>
    <row r="79" spans="1:11" x14ac:dyDescent="0.25">
      <c r="A79" s="13" t="s">
        <v>22</v>
      </c>
      <c r="B79" s="13"/>
      <c r="C79" s="14"/>
      <c r="D79" s="13"/>
      <c r="E79" s="15"/>
      <c r="F79" s="13"/>
      <c r="G79" s="13"/>
      <c r="H79" s="13"/>
      <c r="I79" s="13"/>
      <c r="J79" s="12">
        <f>IF(B79="",IF(AND(A79="Plus one",K79&lt;&gt;""),"↳ Plus one of "&amp;K79&amp;" (name TBC)",""),IF(A79="Plus one",IF(C79&lt;&gt;"","Leave party size empty",IF(K79="","Put it under a main guest","↳ Plus one of "&amp;K79)),IF(C79="","Add a party size",IF(COUNTIFS($K$4:$K$403,B79,$A$4:$A$403,"Plus one")&gt;C79-1,"More plus ones than party size",IF(AND(OR(D79="WhatsApp",D79="Both"),E79=""),"Add a phone number",IF(AND(OR(D79="Email",D79="Both"),F79=""),"Add an email",IF(AND(F79&lt;&gt;"",ISERROR(SEARCH("@",F79))),"Check the email","✓ Ready")))))))</f>
      </c>
      <c r="K79">
        <f>IF(A79="Plus one",K78,B79)</f>
      </c>
    </row>
    <row r="80" spans="1:11" x14ac:dyDescent="0.25">
      <c r="A80" s="16" t="s">
        <v>22</v>
      </c>
      <c r="B80" s="16"/>
      <c r="C80" s="17"/>
      <c r="D80" s="16"/>
      <c r="E80" s="18"/>
      <c r="F80" s="16"/>
      <c r="G80" s="16"/>
      <c r="H80" s="16"/>
      <c r="I80" s="16"/>
      <c r="J80" s="8">
        <f>IF(B80="",IF(AND(A80="Plus one",K80&lt;&gt;""),"↳ Plus one of "&amp;K80&amp;" (name TBC)",""),IF(A80="Plus one",IF(C80&lt;&gt;"","Leave party size empty",IF(K80="","Put it under a main guest","↳ Plus one of "&amp;K80)),IF(C80="","Add a party size",IF(COUNTIFS($K$4:$K$403,B80,$A$4:$A$403,"Plus one")&gt;C80-1,"More plus ones than party size",IF(AND(OR(D80="WhatsApp",D80="Both"),E80=""),"Add a phone number",IF(AND(OR(D80="Email",D80="Both"),F80=""),"Add an email",IF(AND(F80&lt;&gt;"",ISERROR(SEARCH("@",F80))),"Check the email","✓ Ready")))))))</f>
      </c>
      <c r="K80">
        <f>IF(A80="Plus one",K79,B80)</f>
      </c>
    </row>
    <row r="81" spans="1:11" x14ac:dyDescent="0.25">
      <c r="A81" s="13" t="s">
        <v>22</v>
      </c>
      <c r="B81" s="13"/>
      <c r="C81" s="14"/>
      <c r="D81" s="13"/>
      <c r="E81" s="15"/>
      <c r="F81" s="13"/>
      <c r="G81" s="13"/>
      <c r="H81" s="13"/>
      <c r="I81" s="13"/>
      <c r="J81" s="12">
        <f>IF(B81="",IF(AND(A81="Plus one",K81&lt;&gt;""),"↳ Plus one of "&amp;K81&amp;" (name TBC)",""),IF(A81="Plus one",IF(C81&lt;&gt;"","Leave party size empty",IF(K81="","Put it under a main guest","↳ Plus one of "&amp;K81)),IF(C81="","Add a party size",IF(COUNTIFS($K$4:$K$403,B81,$A$4:$A$403,"Plus one")&gt;C81-1,"More plus ones than party size",IF(AND(OR(D81="WhatsApp",D81="Both"),E81=""),"Add a phone number",IF(AND(OR(D81="Email",D81="Both"),F81=""),"Add an email",IF(AND(F81&lt;&gt;"",ISERROR(SEARCH("@",F81))),"Check the email","✓ Ready")))))))</f>
      </c>
      <c r="K81">
        <f>IF(A81="Plus one",K80,B81)</f>
      </c>
    </row>
    <row r="82" spans="1:11" x14ac:dyDescent="0.25">
      <c r="A82" s="16" t="s">
        <v>22</v>
      </c>
      <c r="B82" s="16"/>
      <c r="C82" s="17"/>
      <c r="D82" s="16"/>
      <c r="E82" s="18"/>
      <c r="F82" s="16"/>
      <c r="G82" s="16"/>
      <c r="H82" s="16"/>
      <c r="I82" s="16"/>
      <c r="J82" s="8">
        <f>IF(B82="",IF(AND(A82="Plus one",K82&lt;&gt;""),"↳ Plus one of "&amp;K82&amp;" (name TBC)",""),IF(A82="Plus one",IF(C82&lt;&gt;"","Leave party size empty",IF(K82="","Put it under a main guest","↳ Plus one of "&amp;K82)),IF(C82="","Add a party size",IF(COUNTIFS($K$4:$K$403,B82,$A$4:$A$403,"Plus one")&gt;C82-1,"More plus ones than party size",IF(AND(OR(D82="WhatsApp",D82="Both"),E82=""),"Add a phone number",IF(AND(OR(D82="Email",D82="Both"),F82=""),"Add an email",IF(AND(F82&lt;&gt;"",ISERROR(SEARCH("@",F82))),"Check the email","✓ Ready")))))))</f>
      </c>
      <c r="K82">
        <f>IF(A82="Plus one",K81,B82)</f>
      </c>
    </row>
    <row r="83" spans="1:11" x14ac:dyDescent="0.25">
      <c r="A83" s="13" t="s">
        <v>22</v>
      </c>
      <c r="B83" s="13"/>
      <c r="C83" s="14"/>
      <c r="D83" s="13"/>
      <c r="E83" s="15"/>
      <c r="F83" s="13"/>
      <c r="G83" s="13"/>
      <c r="H83" s="13"/>
      <c r="I83" s="13"/>
      <c r="J83" s="12">
        <f>IF(B83="",IF(AND(A83="Plus one",K83&lt;&gt;""),"↳ Plus one of "&amp;K83&amp;" (name TBC)",""),IF(A83="Plus one",IF(C83&lt;&gt;"","Leave party size empty",IF(K83="","Put it under a main guest","↳ Plus one of "&amp;K83)),IF(C83="","Add a party size",IF(COUNTIFS($K$4:$K$403,B83,$A$4:$A$403,"Plus one")&gt;C83-1,"More plus ones than party size",IF(AND(OR(D83="WhatsApp",D83="Both"),E83=""),"Add a phone number",IF(AND(OR(D83="Email",D83="Both"),F83=""),"Add an email",IF(AND(F83&lt;&gt;"",ISERROR(SEARCH("@",F83))),"Check the email","✓ Ready")))))))</f>
      </c>
      <c r="K83">
        <f>IF(A83="Plus one",K82,B83)</f>
      </c>
    </row>
    <row r="84" spans="1:11" x14ac:dyDescent="0.25">
      <c r="A84" s="16" t="s">
        <v>22</v>
      </c>
      <c r="B84" s="16"/>
      <c r="C84" s="17"/>
      <c r="D84" s="16"/>
      <c r="E84" s="18"/>
      <c r="F84" s="16"/>
      <c r="G84" s="16"/>
      <c r="H84" s="16"/>
      <c r="I84" s="16"/>
      <c r="J84" s="8">
        <f>IF(B84="",IF(AND(A84="Plus one",K84&lt;&gt;""),"↳ Plus one of "&amp;K84&amp;" (name TBC)",""),IF(A84="Plus one",IF(C84&lt;&gt;"","Leave party size empty",IF(K84="","Put it under a main guest","↳ Plus one of "&amp;K84)),IF(C84="","Add a party size",IF(COUNTIFS($K$4:$K$403,B84,$A$4:$A$403,"Plus one")&gt;C84-1,"More plus ones than party size",IF(AND(OR(D84="WhatsApp",D84="Both"),E84=""),"Add a phone number",IF(AND(OR(D84="Email",D84="Both"),F84=""),"Add an email",IF(AND(F84&lt;&gt;"",ISERROR(SEARCH("@",F84))),"Check the email","✓ Ready")))))))</f>
      </c>
      <c r="K84">
        <f>IF(A84="Plus one",K83,B84)</f>
      </c>
    </row>
    <row r="85" spans="1:11" x14ac:dyDescent="0.25">
      <c r="A85" s="13" t="s">
        <v>22</v>
      </c>
      <c r="B85" s="13"/>
      <c r="C85" s="14"/>
      <c r="D85" s="13"/>
      <c r="E85" s="15"/>
      <c r="F85" s="13"/>
      <c r="G85" s="13"/>
      <c r="H85" s="13"/>
      <c r="I85" s="13"/>
      <c r="J85" s="12">
        <f>IF(B85="",IF(AND(A85="Plus one",K85&lt;&gt;""),"↳ Plus one of "&amp;K85&amp;" (name TBC)",""),IF(A85="Plus one",IF(C85&lt;&gt;"","Leave party size empty",IF(K85="","Put it under a main guest","↳ Plus one of "&amp;K85)),IF(C85="","Add a party size",IF(COUNTIFS($K$4:$K$403,B85,$A$4:$A$403,"Plus one")&gt;C85-1,"More plus ones than party size",IF(AND(OR(D85="WhatsApp",D85="Both"),E85=""),"Add a phone number",IF(AND(OR(D85="Email",D85="Both"),F85=""),"Add an email",IF(AND(F85&lt;&gt;"",ISERROR(SEARCH("@",F85))),"Check the email","✓ Ready")))))))</f>
      </c>
      <c r="K85">
        <f>IF(A85="Plus one",K84,B85)</f>
      </c>
    </row>
    <row r="86" spans="1:11" x14ac:dyDescent="0.25">
      <c r="A86" s="16" t="s">
        <v>22</v>
      </c>
      <c r="B86" s="16"/>
      <c r="C86" s="17"/>
      <c r="D86" s="16"/>
      <c r="E86" s="18"/>
      <c r="F86" s="16"/>
      <c r="G86" s="16"/>
      <c r="H86" s="16"/>
      <c r="I86" s="16"/>
      <c r="J86" s="8">
        <f>IF(B86="",IF(AND(A86="Plus one",K86&lt;&gt;""),"↳ Plus one of "&amp;K86&amp;" (name TBC)",""),IF(A86="Plus one",IF(C86&lt;&gt;"","Leave party size empty",IF(K86="","Put it under a main guest","↳ Plus one of "&amp;K86)),IF(C86="","Add a party size",IF(COUNTIFS($K$4:$K$403,B86,$A$4:$A$403,"Plus one")&gt;C86-1,"More plus ones than party size",IF(AND(OR(D86="WhatsApp",D86="Both"),E86=""),"Add a phone number",IF(AND(OR(D86="Email",D86="Both"),F86=""),"Add an email",IF(AND(F86&lt;&gt;"",ISERROR(SEARCH("@",F86))),"Check the email","✓ Ready")))))))</f>
      </c>
      <c r="K86">
        <f>IF(A86="Plus one",K85,B86)</f>
      </c>
    </row>
    <row r="87" spans="1:11" x14ac:dyDescent="0.25">
      <c r="A87" s="13" t="s">
        <v>22</v>
      </c>
      <c r="B87" s="13"/>
      <c r="C87" s="14"/>
      <c r="D87" s="13"/>
      <c r="E87" s="15"/>
      <c r="F87" s="13"/>
      <c r="G87" s="13"/>
      <c r="H87" s="13"/>
      <c r="I87" s="13"/>
      <c r="J87" s="12">
        <f>IF(B87="",IF(AND(A87="Plus one",K87&lt;&gt;""),"↳ Plus one of "&amp;K87&amp;" (name TBC)",""),IF(A87="Plus one",IF(C87&lt;&gt;"","Leave party size empty",IF(K87="","Put it under a main guest","↳ Plus one of "&amp;K87)),IF(C87="","Add a party size",IF(COUNTIFS($K$4:$K$403,B87,$A$4:$A$403,"Plus one")&gt;C87-1,"More plus ones than party size",IF(AND(OR(D87="WhatsApp",D87="Both"),E87=""),"Add a phone number",IF(AND(OR(D87="Email",D87="Both"),F87=""),"Add an email",IF(AND(F87&lt;&gt;"",ISERROR(SEARCH("@",F87))),"Check the email","✓ Ready")))))))</f>
      </c>
      <c r="K87">
        <f>IF(A87="Plus one",K86,B87)</f>
      </c>
    </row>
    <row r="88" spans="1:11" x14ac:dyDescent="0.25">
      <c r="A88" s="16" t="s">
        <v>22</v>
      </c>
      <c r="B88" s="16"/>
      <c r="C88" s="17"/>
      <c r="D88" s="16"/>
      <c r="E88" s="18"/>
      <c r="F88" s="16"/>
      <c r="G88" s="16"/>
      <c r="H88" s="16"/>
      <c r="I88" s="16"/>
      <c r="J88" s="8">
        <f>IF(B88="",IF(AND(A88="Plus one",K88&lt;&gt;""),"↳ Plus one of "&amp;K88&amp;" (name TBC)",""),IF(A88="Plus one",IF(C88&lt;&gt;"","Leave party size empty",IF(K88="","Put it under a main guest","↳ Plus one of "&amp;K88)),IF(C88="","Add a party size",IF(COUNTIFS($K$4:$K$403,B88,$A$4:$A$403,"Plus one")&gt;C88-1,"More plus ones than party size",IF(AND(OR(D88="WhatsApp",D88="Both"),E88=""),"Add a phone number",IF(AND(OR(D88="Email",D88="Both"),F88=""),"Add an email",IF(AND(F88&lt;&gt;"",ISERROR(SEARCH("@",F88))),"Check the email","✓ Ready")))))))</f>
      </c>
      <c r="K88">
        <f>IF(A88="Plus one",K87,B88)</f>
      </c>
    </row>
    <row r="89" spans="1:11" x14ac:dyDescent="0.25">
      <c r="A89" s="13" t="s">
        <v>22</v>
      </c>
      <c r="B89" s="13"/>
      <c r="C89" s="14"/>
      <c r="D89" s="13"/>
      <c r="E89" s="15"/>
      <c r="F89" s="13"/>
      <c r="G89" s="13"/>
      <c r="H89" s="13"/>
      <c r="I89" s="13"/>
      <c r="J89" s="12">
        <f>IF(B89="",IF(AND(A89="Plus one",K89&lt;&gt;""),"↳ Plus one of "&amp;K89&amp;" (name TBC)",""),IF(A89="Plus one",IF(C89&lt;&gt;"","Leave party size empty",IF(K89="","Put it under a main guest","↳ Plus one of "&amp;K89)),IF(C89="","Add a party size",IF(COUNTIFS($K$4:$K$403,B89,$A$4:$A$403,"Plus one")&gt;C89-1,"More plus ones than party size",IF(AND(OR(D89="WhatsApp",D89="Both"),E89=""),"Add a phone number",IF(AND(OR(D89="Email",D89="Both"),F89=""),"Add an email",IF(AND(F89&lt;&gt;"",ISERROR(SEARCH("@",F89))),"Check the email","✓ Ready")))))))</f>
      </c>
      <c r="K89">
        <f>IF(A89="Plus one",K88,B89)</f>
      </c>
    </row>
    <row r="90" spans="1:11" x14ac:dyDescent="0.25">
      <c r="A90" s="16" t="s">
        <v>22</v>
      </c>
      <c r="B90" s="16"/>
      <c r="C90" s="17"/>
      <c r="D90" s="16"/>
      <c r="E90" s="18"/>
      <c r="F90" s="16"/>
      <c r="G90" s="16"/>
      <c r="H90" s="16"/>
      <c r="I90" s="16"/>
      <c r="J90" s="8">
        <f>IF(B90="",IF(AND(A90="Plus one",K90&lt;&gt;""),"↳ Plus one of "&amp;K90&amp;" (name TBC)",""),IF(A90="Plus one",IF(C90&lt;&gt;"","Leave party size empty",IF(K90="","Put it under a main guest","↳ Plus one of "&amp;K90)),IF(C90="","Add a party size",IF(COUNTIFS($K$4:$K$403,B90,$A$4:$A$403,"Plus one")&gt;C90-1,"More plus ones than party size",IF(AND(OR(D90="WhatsApp",D90="Both"),E90=""),"Add a phone number",IF(AND(OR(D90="Email",D90="Both"),F90=""),"Add an email",IF(AND(F90&lt;&gt;"",ISERROR(SEARCH("@",F90))),"Check the email","✓ Ready")))))))</f>
      </c>
      <c r="K90">
        <f>IF(A90="Plus one",K89,B90)</f>
      </c>
    </row>
    <row r="91" spans="1:11" x14ac:dyDescent="0.25">
      <c r="A91" s="13" t="s">
        <v>22</v>
      </c>
      <c r="B91" s="13"/>
      <c r="C91" s="14"/>
      <c r="D91" s="13"/>
      <c r="E91" s="15"/>
      <c r="F91" s="13"/>
      <c r="G91" s="13"/>
      <c r="H91" s="13"/>
      <c r="I91" s="13"/>
      <c r="J91" s="12">
        <f>IF(B91="",IF(AND(A91="Plus one",K91&lt;&gt;""),"↳ Plus one of "&amp;K91&amp;" (name TBC)",""),IF(A91="Plus one",IF(C91&lt;&gt;"","Leave party size empty",IF(K91="","Put it under a main guest","↳ Plus one of "&amp;K91)),IF(C91="","Add a party size",IF(COUNTIFS($K$4:$K$403,B91,$A$4:$A$403,"Plus one")&gt;C91-1,"More plus ones than party size",IF(AND(OR(D91="WhatsApp",D91="Both"),E91=""),"Add a phone number",IF(AND(OR(D91="Email",D91="Both"),F91=""),"Add an email",IF(AND(F91&lt;&gt;"",ISERROR(SEARCH("@",F91))),"Check the email","✓ Ready")))))))</f>
      </c>
      <c r="K91">
        <f>IF(A91="Plus one",K90,B91)</f>
      </c>
    </row>
    <row r="92" spans="1:11" x14ac:dyDescent="0.25">
      <c r="A92" s="16" t="s">
        <v>22</v>
      </c>
      <c r="B92" s="16"/>
      <c r="C92" s="17"/>
      <c r="D92" s="16"/>
      <c r="E92" s="18"/>
      <c r="F92" s="16"/>
      <c r="G92" s="16"/>
      <c r="H92" s="16"/>
      <c r="I92" s="16"/>
      <c r="J92" s="8">
        <f>IF(B92="",IF(AND(A92="Plus one",K92&lt;&gt;""),"↳ Plus one of "&amp;K92&amp;" (name TBC)",""),IF(A92="Plus one",IF(C92&lt;&gt;"","Leave party size empty",IF(K92="","Put it under a main guest","↳ Plus one of "&amp;K92)),IF(C92="","Add a party size",IF(COUNTIFS($K$4:$K$403,B92,$A$4:$A$403,"Plus one")&gt;C92-1,"More plus ones than party size",IF(AND(OR(D92="WhatsApp",D92="Both"),E92=""),"Add a phone number",IF(AND(OR(D92="Email",D92="Both"),F92=""),"Add an email",IF(AND(F92&lt;&gt;"",ISERROR(SEARCH("@",F92))),"Check the email","✓ Ready")))))))</f>
      </c>
      <c r="K92">
        <f>IF(A92="Plus one",K91,B92)</f>
      </c>
    </row>
    <row r="93" spans="1:11" x14ac:dyDescent="0.25">
      <c r="A93" s="13" t="s">
        <v>22</v>
      </c>
      <c r="B93" s="13"/>
      <c r="C93" s="14"/>
      <c r="D93" s="13"/>
      <c r="E93" s="15"/>
      <c r="F93" s="13"/>
      <c r="G93" s="13"/>
      <c r="H93" s="13"/>
      <c r="I93" s="13"/>
      <c r="J93" s="12">
        <f>IF(B93="",IF(AND(A93="Plus one",K93&lt;&gt;""),"↳ Plus one of "&amp;K93&amp;" (name TBC)",""),IF(A93="Plus one",IF(C93&lt;&gt;"","Leave party size empty",IF(K93="","Put it under a main guest","↳ Plus one of "&amp;K93)),IF(C93="","Add a party size",IF(COUNTIFS($K$4:$K$403,B93,$A$4:$A$403,"Plus one")&gt;C93-1,"More plus ones than party size",IF(AND(OR(D93="WhatsApp",D93="Both"),E93=""),"Add a phone number",IF(AND(OR(D93="Email",D93="Both"),F93=""),"Add an email",IF(AND(F93&lt;&gt;"",ISERROR(SEARCH("@",F93))),"Check the email","✓ Ready")))))))</f>
      </c>
      <c r="K93">
        <f>IF(A93="Plus one",K92,B93)</f>
      </c>
    </row>
    <row r="94" spans="1:11" x14ac:dyDescent="0.25">
      <c r="A94" s="16" t="s">
        <v>22</v>
      </c>
      <c r="B94" s="16"/>
      <c r="C94" s="17"/>
      <c r="D94" s="16"/>
      <c r="E94" s="18"/>
      <c r="F94" s="16"/>
      <c r="G94" s="16"/>
      <c r="H94" s="16"/>
      <c r="I94" s="16"/>
      <c r="J94" s="8">
        <f>IF(B94="",IF(AND(A94="Plus one",K94&lt;&gt;""),"↳ Plus one of "&amp;K94&amp;" (name TBC)",""),IF(A94="Plus one",IF(C94&lt;&gt;"","Leave party size empty",IF(K94="","Put it under a main guest","↳ Plus one of "&amp;K94)),IF(C94="","Add a party size",IF(COUNTIFS($K$4:$K$403,B94,$A$4:$A$403,"Plus one")&gt;C94-1,"More plus ones than party size",IF(AND(OR(D94="WhatsApp",D94="Both"),E94=""),"Add a phone number",IF(AND(OR(D94="Email",D94="Both"),F94=""),"Add an email",IF(AND(F94&lt;&gt;"",ISERROR(SEARCH("@",F94))),"Check the email","✓ Ready")))))))</f>
      </c>
      <c r="K94">
        <f>IF(A94="Plus one",K93,B94)</f>
      </c>
    </row>
    <row r="95" spans="1:11" x14ac:dyDescent="0.25">
      <c r="A95" s="13" t="s">
        <v>22</v>
      </c>
      <c r="B95" s="13"/>
      <c r="C95" s="14"/>
      <c r="D95" s="13"/>
      <c r="E95" s="15"/>
      <c r="F95" s="13"/>
      <c r="G95" s="13"/>
      <c r="H95" s="13"/>
      <c r="I95" s="13"/>
      <c r="J95" s="12">
        <f>IF(B95="",IF(AND(A95="Plus one",K95&lt;&gt;""),"↳ Plus one of "&amp;K95&amp;" (name TBC)",""),IF(A95="Plus one",IF(C95&lt;&gt;"","Leave party size empty",IF(K95="","Put it under a main guest","↳ Plus one of "&amp;K95)),IF(C95="","Add a party size",IF(COUNTIFS($K$4:$K$403,B95,$A$4:$A$403,"Plus one")&gt;C95-1,"More plus ones than party size",IF(AND(OR(D95="WhatsApp",D95="Both"),E95=""),"Add a phone number",IF(AND(OR(D95="Email",D95="Both"),F95=""),"Add an email",IF(AND(F95&lt;&gt;"",ISERROR(SEARCH("@",F95))),"Check the email","✓ Ready")))))))</f>
      </c>
      <c r="K95">
        <f>IF(A95="Plus one",K94,B95)</f>
      </c>
    </row>
    <row r="96" spans="1:11" x14ac:dyDescent="0.25">
      <c r="A96" s="16" t="s">
        <v>22</v>
      </c>
      <c r="B96" s="16"/>
      <c r="C96" s="17"/>
      <c r="D96" s="16"/>
      <c r="E96" s="18"/>
      <c r="F96" s="16"/>
      <c r="G96" s="16"/>
      <c r="H96" s="16"/>
      <c r="I96" s="16"/>
      <c r="J96" s="8">
        <f>IF(B96="",IF(AND(A96="Plus one",K96&lt;&gt;""),"↳ Plus one of "&amp;K96&amp;" (name TBC)",""),IF(A96="Plus one",IF(C96&lt;&gt;"","Leave party size empty",IF(K96="","Put it under a main guest","↳ Plus one of "&amp;K96)),IF(C96="","Add a party size",IF(COUNTIFS($K$4:$K$403,B96,$A$4:$A$403,"Plus one")&gt;C96-1,"More plus ones than party size",IF(AND(OR(D96="WhatsApp",D96="Both"),E96=""),"Add a phone number",IF(AND(OR(D96="Email",D96="Both"),F96=""),"Add an email",IF(AND(F96&lt;&gt;"",ISERROR(SEARCH("@",F96))),"Check the email","✓ Ready")))))))</f>
      </c>
      <c r="K96">
        <f>IF(A96="Plus one",K95,B96)</f>
      </c>
    </row>
    <row r="97" spans="1:11" x14ac:dyDescent="0.25">
      <c r="A97" s="13" t="s">
        <v>22</v>
      </c>
      <c r="B97" s="13"/>
      <c r="C97" s="14"/>
      <c r="D97" s="13"/>
      <c r="E97" s="15"/>
      <c r="F97" s="13"/>
      <c r="G97" s="13"/>
      <c r="H97" s="13"/>
      <c r="I97" s="13"/>
      <c r="J97" s="12">
        <f>IF(B97="",IF(AND(A97="Plus one",K97&lt;&gt;""),"↳ Plus one of "&amp;K97&amp;" (name TBC)",""),IF(A97="Plus one",IF(C97&lt;&gt;"","Leave party size empty",IF(K97="","Put it under a main guest","↳ Plus one of "&amp;K97)),IF(C97="","Add a party size",IF(COUNTIFS($K$4:$K$403,B97,$A$4:$A$403,"Plus one")&gt;C97-1,"More plus ones than party size",IF(AND(OR(D97="WhatsApp",D97="Both"),E97=""),"Add a phone number",IF(AND(OR(D97="Email",D97="Both"),F97=""),"Add an email",IF(AND(F97&lt;&gt;"",ISERROR(SEARCH("@",F97))),"Check the email","✓ Ready")))))))</f>
      </c>
      <c r="K97">
        <f>IF(A97="Plus one",K96,B97)</f>
      </c>
    </row>
    <row r="98" spans="1:11" x14ac:dyDescent="0.25">
      <c r="A98" s="16" t="s">
        <v>22</v>
      </c>
      <c r="B98" s="16"/>
      <c r="C98" s="17"/>
      <c r="D98" s="16"/>
      <c r="E98" s="18"/>
      <c r="F98" s="16"/>
      <c r="G98" s="16"/>
      <c r="H98" s="16"/>
      <c r="I98" s="16"/>
      <c r="J98" s="8">
        <f>IF(B98="",IF(AND(A98="Plus one",K98&lt;&gt;""),"↳ Plus one of "&amp;K98&amp;" (name TBC)",""),IF(A98="Plus one",IF(C98&lt;&gt;"","Leave party size empty",IF(K98="","Put it under a main guest","↳ Plus one of "&amp;K98)),IF(C98="","Add a party size",IF(COUNTIFS($K$4:$K$403,B98,$A$4:$A$403,"Plus one")&gt;C98-1,"More plus ones than party size",IF(AND(OR(D98="WhatsApp",D98="Both"),E98=""),"Add a phone number",IF(AND(OR(D98="Email",D98="Both"),F98=""),"Add an email",IF(AND(F98&lt;&gt;"",ISERROR(SEARCH("@",F98))),"Check the email","✓ Ready")))))))</f>
      </c>
      <c r="K98">
        <f>IF(A98="Plus one",K97,B98)</f>
      </c>
    </row>
    <row r="99" spans="1:11" x14ac:dyDescent="0.25">
      <c r="A99" s="13" t="s">
        <v>22</v>
      </c>
      <c r="B99" s="13"/>
      <c r="C99" s="14"/>
      <c r="D99" s="13"/>
      <c r="E99" s="15"/>
      <c r="F99" s="13"/>
      <c r="G99" s="13"/>
      <c r="H99" s="13"/>
      <c r="I99" s="13"/>
      <c r="J99" s="12">
        <f>IF(B99="",IF(AND(A99="Plus one",K99&lt;&gt;""),"↳ Plus one of "&amp;K99&amp;" (name TBC)",""),IF(A99="Plus one",IF(C99&lt;&gt;"","Leave party size empty",IF(K99="","Put it under a main guest","↳ Plus one of "&amp;K99)),IF(C99="","Add a party size",IF(COUNTIFS($K$4:$K$403,B99,$A$4:$A$403,"Plus one")&gt;C99-1,"More plus ones than party size",IF(AND(OR(D99="WhatsApp",D99="Both"),E99=""),"Add a phone number",IF(AND(OR(D99="Email",D99="Both"),F99=""),"Add an email",IF(AND(F99&lt;&gt;"",ISERROR(SEARCH("@",F99))),"Check the email","✓ Ready")))))))</f>
      </c>
      <c r="K99">
        <f>IF(A99="Plus one",K98,B99)</f>
      </c>
    </row>
    <row r="100" spans="1:11" x14ac:dyDescent="0.25">
      <c r="A100" s="16" t="s">
        <v>22</v>
      </c>
      <c r="B100" s="16"/>
      <c r="C100" s="17"/>
      <c r="D100" s="16"/>
      <c r="E100" s="18"/>
      <c r="F100" s="16"/>
      <c r="G100" s="16"/>
      <c r="H100" s="16"/>
      <c r="I100" s="16"/>
      <c r="J100" s="8">
        <f>IF(B100="",IF(AND(A100="Plus one",K100&lt;&gt;""),"↳ Plus one of "&amp;K100&amp;" (name TBC)",""),IF(A100="Plus one",IF(C100&lt;&gt;"","Leave party size empty",IF(K100="","Put it under a main guest","↳ Plus one of "&amp;K100)),IF(C100="","Add a party size",IF(COUNTIFS($K$4:$K$403,B100,$A$4:$A$403,"Plus one")&gt;C100-1,"More plus ones than party size",IF(AND(OR(D100="WhatsApp",D100="Both"),E100=""),"Add a phone number",IF(AND(OR(D100="Email",D100="Both"),F100=""),"Add an email",IF(AND(F100&lt;&gt;"",ISERROR(SEARCH("@",F100))),"Check the email","✓ Ready")))))))</f>
      </c>
      <c r="K100">
        <f>IF(A100="Plus one",K99,B100)</f>
      </c>
    </row>
    <row r="101" spans="1:11" x14ac:dyDescent="0.25">
      <c r="A101" s="13" t="s">
        <v>22</v>
      </c>
      <c r="B101" s="13"/>
      <c r="C101" s="14"/>
      <c r="D101" s="13"/>
      <c r="E101" s="15"/>
      <c r="F101" s="13"/>
      <c r="G101" s="13"/>
      <c r="H101" s="13"/>
      <c r="I101" s="13"/>
      <c r="J101" s="12">
        <f>IF(B101="",IF(AND(A101="Plus one",K101&lt;&gt;""),"↳ Plus one of "&amp;K101&amp;" (name TBC)",""),IF(A101="Plus one",IF(C101&lt;&gt;"","Leave party size empty",IF(K101="","Put it under a main guest","↳ Plus one of "&amp;K101)),IF(C101="","Add a party size",IF(COUNTIFS($K$4:$K$403,B101,$A$4:$A$403,"Plus one")&gt;C101-1,"More plus ones than party size",IF(AND(OR(D101="WhatsApp",D101="Both"),E101=""),"Add a phone number",IF(AND(OR(D101="Email",D101="Both"),F101=""),"Add an email",IF(AND(F101&lt;&gt;"",ISERROR(SEARCH("@",F101))),"Check the email","✓ Ready")))))))</f>
      </c>
      <c r="K101">
        <f>IF(A101="Plus one",K100,B101)</f>
      </c>
    </row>
    <row r="102" spans="1:11" x14ac:dyDescent="0.25">
      <c r="A102" s="16" t="s">
        <v>22</v>
      </c>
      <c r="B102" s="16"/>
      <c r="C102" s="17"/>
      <c r="D102" s="16"/>
      <c r="E102" s="18"/>
      <c r="F102" s="16"/>
      <c r="G102" s="16"/>
      <c r="H102" s="16"/>
      <c r="I102" s="16"/>
      <c r="J102" s="8">
        <f>IF(B102="",IF(AND(A102="Plus one",K102&lt;&gt;""),"↳ Plus one of "&amp;K102&amp;" (name TBC)",""),IF(A102="Plus one",IF(C102&lt;&gt;"","Leave party size empty",IF(K102="","Put it under a main guest","↳ Plus one of "&amp;K102)),IF(C102="","Add a party size",IF(COUNTIFS($K$4:$K$403,B102,$A$4:$A$403,"Plus one")&gt;C102-1,"More plus ones than party size",IF(AND(OR(D102="WhatsApp",D102="Both"),E102=""),"Add a phone number",IF(AND(OR(D102="Email",D102="Both"),F102=""),"Add an email",IF(AND(F102&lt;&gt;"",ISERROR(SEARCH("@",F102))),"Check the email","✓ Ready")))))))</f>
      </c>
      <c r="K102">
        <f>IF(A102="Plus one",K101,B102)</f>
      </c>
    </row>
    <row r="103" spans="1:11" x14ac:dyDescent="0.25">
      <c r="A103" s="13" t="s">
        <v>22</v>
      </c>
      <c r="B103" s="13"/>
      <c r="C103" s="14"/>
      <c r="D103" s="13"/>
      <c r="E103" s="15"/>
      <c r="F103" s="13"/>
      <c r="G103" s="13"/>
      <c r="H103" s="13"/>
      <c r="I103" s="13"/>
      <c r="J103" s="12">
        <f>IF(B103="",IF(AND(A103="Plus one",K103&lt;&gt;""),"↳ Plus one of "&amp;K103&amp;" (name TBC)",""),IF(A103="Plus one",IF(C103&lt;&gt;"","Leave party size empty",IF(K103="","Put it under a main guest","↳ Plus one of "&amp;K103)),IF(C103="","Add a party size",IF(COUNTIFS($K$4:$K$403,B103,$A$4:$A$403,"Plus one")&gt;C103-1,"More plus ones than party size",IF(AND(OR(D103="WhatsApp",D103="Both"),E103=""),"Add a phone number",IF(AND(OR(D103="Email",D103="Both"),F103=""),"Add an email",IF(AND(F103&lt;&gt;"",ISERROR(SEARCH("@",F103))),"Check the email","✓ Ready")))))))</f>
      </c>
      <c r="K103">
        <f>IF(A103="Plus one",K102,B103)</f>
      </c>
    </row>
    <row r="104" spans="1:11" x14ac:dyDescent="0.25">
      <c r="A104" s="16" t="s">
        <v>22</v>
      </c>
      <c r="B104" s="16"/>
      <c r="C104" s="17"/>
      <c r="D104" s="16"/>
      <c r="E104" s="18"/>
      <c r="F104" s="16"/>
      <c r="G104" s="16"/>
      <c r="H104" s="16"/>
      <c r="I104" s="16"/>
      <c r="J104" s="8">
        <f>IF(B104="",IF(AND(A104="Plus one",K104&lt;&gt;""),"↳ Plus one of "&amp;K104&amp;" (name TBC)",""),IF(A104="Plus one",IF(C104&lt;&gt;"","Leave party size empty",IF(K104="","Put it under a main guest","↳ Plus one of "&amp;K104)),IF(C104="","Add a party size",IF(COUNTIFS($K$4:$K$403,B104,$A$4:$A$403,"Plus one")&gt;C104-1,"More plus ones than party size",IF(AND(OR(D104="WhatsApp",D104="Both"),E104=""),"Add a phone number",IF(AND(OR(D104="Email",D104="Both"),F104=""),"Add an email",IF(AND(F104&lt;&gt;"",ISERROR(SEARCH("@",F104))),"Check the email","✓ Ready")))))))</f>
      </c>
      <c r="K104">
        <f>IF(A104="Plus one",K103,B104)</f>
      </c>
    </row>
    <row r="105" spans="1:11" x14ac:dyDescent="0.25">
      <c r="A105" s="13" t="s">
        <v>22</v>
      </c>
      <c r="B105" s="13"/>
      <c r="C105" s="14"/>
      <c r="D105" s="13"/>
      <c r="E105" s="15"/>
      <c r="F105" s="13"/>
      <c r="G105" s="13"/>
      <c r="H105" s="13"/>
      <c r="I105" s="13"/>
      <c r="J105" s="12">
        <f>IF(B105="",IF(AND(A105="Plus one",K105&lt;&gt;""),"↳ Plus one of "&amp;K105&amp;" (name TBC)",""),IF(A105="Plus one",IF(C105&lt;&gt;"","Leave party size empty",IF(K105="","Put it under a main guest","↳ Plus one of "&amp;K105)),IF(C105="","Add a party size",IF(COUNTIFS($K$4:$K$403,B105,$A$4:$A$403,"Plus one")&gt;C105-1,"More plus ones than party size",IF(AND(OR(D105="WhatsApp",D105="Both"),E105=""),"Add a phone number",IF(AND(OR(D105="Email",D105="Both"),F105=""),"Add an email",IF(AND(F105&lt;&gt;"",ISERROR(SEARCH("@",F105))),"Check the email","✓ Ready")))))))</f>
      </c>
      <c r="K105">
        <f>IF(A105="Plus one",K104,B105)</f>
      </c>
    </row>
    <row r="106" spans="1:11" x14ac:dyDescent="0.25">
      <c r="A106" s="16" t="s">
        <v>22</v>
      </c>
      <c r="B106" s="16"/>
      <c r="C106" s="17"/>
      <c r="D106" s="16"/>
      <c r="E106" s="18"/>
      <c r="F106" s="16"/>
      <c r="G106" s="16"/>
      <c r="H106" s="16"/>
      <c r="I106" s="16"/>
      <c r="J106" s="8">
        <f>IF(B106="",IF(AND(A106="Plus one",K106&lt;&gt;""),"↳ Plus one of "&amp;K106&amp;" (name TBC)",""),IF(A106="Plus one",IF(C106&lt;&gt;"","Leave party size empty",IF(K106="","Put it under a main guest","↳ Plus one of "&amp;K106)),IF(C106="","Add a party size",IF(COUNTIFS($K$4:$K$403,B106,$A$4:$A$403,"Plus one")&gt;C106-1,"More plus ones than party size",IF(AND(OR(D106="WhatsApp",D106="Both"),E106=""),"Add a phone number",IF(AND(OR(D106="Email",D106="Both"),F106=""),"Add an email",IF(AND(F106&lt;&gt;"",ISERROR(SEARCH("@",F106))),"Check the email","✓ Ready")))))))</f>
      </c>
      <c r="K106">
        <f>IF(A106="Plus one",K105,B106)</f>
      </c>
    </row>
    <row r="107" spans="1:11" x14ac:dyDescent="0.25">
      <c r="A107" s="13" t="s">
        <v>22</v>
      </c>
      <c r="B107" s="13"/>
      <c r="C107" s="14"/>
      <c r="D107" s="13"/>
      <c r="E107" s="15"/>
      <c r="F107" s="13"/>
      <c r="G107" s="13"/>
      <c r="H107" s="13"/>
      <c r="I107" s="13"/>
      <c r="J107" s="12">
        <f>IF(B107="",IF(AND(A107="Plus one",K107&lt;&gt;""),"↳ Plus one of "&amp;K107&amp;" (name TBC)",""),IF(A107="Plus one",IF(C107&lt;&gt;"","Leave party size empty",IF(K107="","Put it under a main guest","↳ Plus one of "&amp;K107)),IF(C107="","Add a party size",IF(COUNTIFS($K$4:$K$403,B107,$A$4:$A$403,"Plus one")&gt;C107-1,"More plus ones than party size",IF(AND(OR(D107="WhatsApp",D107="Both"),E107=""),"Add a phone number",IF(AND(OR(D107="Email",D107="Both"),F107=""),"Add an email",IF(AND(F107&lt;&gt;"",ISERROR(SEARCH("@",F107))),"Check the email","✓ Ready")))))))</f>
      </c>
      <c r="K107">
        <f>IF(A107="Plus one",K106,B107)</f>
      </c>
    </row>
    <row r="108" spans="1:11" x14ac:dyDescent="0.25">
      <c r="A108" s="16" t="s">
        <v>22</v>
      </c>
      <c r="B108" s="16"/>
      <c r="C108" s="17"/>
      <c r="D108" s="16"/>
      <c r="E108" s="18"/>
      <c r="F108" s="16"/>
      <c r="G108" s="16"/>
      <c r="H108" s="16"/>
      <c r="I108" s="16"/>
      <c r="J108" s="8">
        <f>IF(B108="",IF(AND(A108="Plus one",K108&lt;&gt;""),"↳ Plus one of "&amp;K108&amp;" (name TBC)",""),IF(A108="Plus one",IF(C108&lt;&gt;"","Leave party size empty",IF(K108="","Put it under a main guest","↳ Plus one of "&amp;K108)),IF(C108="","Add a party size",IF(COUNTIFS($K$4:$K$403,B108,$A$4:$A$403,"Plus one")&gt;C108-1,"More plus ones than party size",IF(AND(OR(D108="WhatsApp",D108="Both"),E108=""),"Add a phone number",IF(AND(OR(D108="Email",D108="Both"),F108=""),"Add an email",IF(AND(F108&lt;&gt;"",ISERROR(SEARCH("@",F108))),"Check the email","✓ Ready")))))))</f>
      </c>
      <c r="K108">
        <f>IF(A108="Plus one",K107,B108)</f>
      </c>
    </row>
    <row r="109" spans="1:11" x14ac:dyDescent="0.25">
      <c r="A109" s="13" t="s">
        <v>22</v>
      </c>
      <c r="B109" s="13"/>
      <c r="C109" s="14"/>
      <c r="D109" s="13"/>
      <c r="E109" s="15"/>
      <c r="F109" s="13"/>
      <c r="G109" s="13"/>
      <c r="H109" s="13"/>
      <c r="I109" s="13"/>
      <c r="J109" s="12">
        <f>IF(B109="",IF(AND(A109="Plus one",K109&lt;&gt;""),"↳ Plus one of "&amp;K109&amp;" (name TBC)",""),IF(A109="Plus one",IF(C109&lt;&gt;"","Leave party size empty",IF(K109="","Put it under a main guest","↳ Plus one of "&amp;K109)),IF(C109="","Add a party size",IF(COUNTIFS($K$4:$K$403,B109,$A$4:$A$403,"Plus one")&gt;C109-1,"More plus ones than party size",IF(AND(OR(D109="WhatsApp",D109="Both"),E109=""),"Add a phone number",IF(AND(OR(D109="Email",D109="Both"),F109=""),"Add an email",IF(AND(F109&lt;&gt;"",ISERROR(SEARCH("@",F109))),"Check the email","✓ Ready")))))))</f>
      </c>
      <c r="K109">
        <f>IF(A109="Plus one",K108,B109)</f>
      </c>
    </row>
    <row r="110" spans="1:11" x14ac:dyDescent="0.25">
      <c r="A110" s="16" t="s">
        <v>22</v>
      </c>
      <c r="B110" s="16"/>
      <c r="C110" s="17"/>
      <c r="D110" s="16"/>
      <c r="E110" s="18"/>
      <c r="F110" s="16"/>
      <c r="G110" s="16"/>
      <c r="H110" s="16"/>
      <c r="I110" s="16"/>
      <c r="J110" s="8">
        <f>IF(B110="",IF(AND(A110="Plus one",K110&lt;&gt;""),"↳ Plus one of "&amp;K110&amp;" (name TBC)",""),IF(A110="Plus one",IF(C110&lt;&gt;"","Leave party size empty",IF(K110="","Put it under a main guest","↳ Plus one of "&amp;K110)),IF(C110="","Add a party size",IF(COUNTIFS($K$4:$K$403,B110,$A$4:$A$403,"Plus one")&gt;C110-1,"More plus ones than party size",IF(AND(OR(D110="WhatsApp",D110="Both"),E110=""),"Add a phone number",IF(AND(OR(D110="Email",D110="Both"),F110=""),"Add an email",IF(AND(F110&lt;&gt;"",ISERROR(SEARCH("@",F110))),"Check the email","✓ Ready")))))))</f>
      </c>
      <c r="K110">
        <f>IF(A110="Plus one",K109,B110)</f>
      </c>
    </row>
    <row r="111" spans="1:11" x14ac:dyDescent="0.25">
      <c r="A111" s="13" t="s">
        <v>22</v>
      </c>
      <c r="B111" s="13"/>
      <c r="C111" s="14"/>
      <c r="D111" s="13"/>
      <c r="E111" s="15"/>
      <c r="F111" s="13"/>
      <c r="G111" s="13"/>
      <c r="H111" s="13"/>
      <c r="I111" s="13"/>
      <c r="J111" s="12">
        <f>IF(B111="",IF(AND(A111="Plus one",K111&lt;&gt;""),"↳ Plus one of "&amp;K111&amp;" (name TBC)",""),IF(A111="Plus one",IF(C111&lt;&gt;"","Leave party size empty",IF(K111="","Put it under a main guest","↳ Plus one of "&amp;K111)),IF(C111="","Add a party size",IF(COUNTIFS($K$4:$K$403,B111,$A$4:$A$403,"Plus one")&gt;C111-1,"More plus ones than party size",IF(AND(OR(D111="WhatsApp",D111="Both"),E111=""),"Add a phone number",IF(AND(OR(D111="Email",D111="Both"),F111=""),"Add an email",IF(AND(F111&lt;&gt;"",ISERROR(SEARCH("@",F111))),"Check the email","✓ Ready")))))))</f>
      </c>
      <c r="K111">
        <f>IF(A111="Plus one",K110,B111)</f>
      </c>
    </row>
    <row r="112" spans="1:11" x14ac:dyDescent="0.25">
      <c r="A112" s="16" t="s">
        <v>22</v>
      </c>
      <c r="B112" s="16"/>
      <c r="C112" s="17"/>
      <c r="D112" s="16"/>
      <c r="E112" s="18"/>
      <c r="F112" s="16"/>
      <c r="G112" s="16"/>
      <c r="H112" s="16"/>
      <c r="I112" s="16"/>
      <c r="J112" s="8">
        <f>IF(B112="",IF(AND(A112="Plus one",K112&lt;&gt;""),"↳ Plus one of "&amp;K112&amp;" (name TBC)",""),IF(A112="Plus one",IF(C112&lt;&gt;"","Leave party size empty",IF(K112="","Put it under a main guest","↳ Plus one of "&amp;K112)),IF(C112="","Add a party size",IF(COUNTIFS($K$4:$K$403,B112,$A$4:$A$403,"Plus one")&gt;C112-1,"More plus ones than party size",IF(AND(OR(D112="WhatsApp",D112="Both"),E112=""),"Add a phone number",IF(AND(OR(D112="Email",D112="Both"),F112=""),"Add an email",IF(AND(F112&lt;&gt;"",ISERROR(SEARCH("@",F112))),"Check the email","✓ Ready")))))))</f>
      </c>
      <c r="K112">
        <f>IF(A112="Plus one",K111,B112)</f>
      </c>
    </row>
    <row r="113" spans="1:11" x14ac:dyDescent="0.25">
      <c r="A113" s="13" t="s">
        <v>22</v>
      </c>
      <c r="B113" s="13"/>
      <c r="C113" s="14"/>
      <c r="D113" s="13"/>
      <c r="E113" s="15"/>
      <c r="F113" s="13"/>
      <c r="G113" s="13"/>
      <c r="H113" s="13"/>
      <c r="I113" s="13"/>
      <c r="J113" s="12">
        <f>IF(B113="",IF(AND(A113="Plus one",K113&lt;&gt;""),"↳ Plus one of "&amp;K113&amp;" (name TBC)",""),IF(A113="Plus one",IF(C113&lt;&gt;"","Leave party size empty",IF(K113="","Put it under a main guest","↳ Plus one of "&amp;K113)),IF(C113="","Add a party size",IF(COUNTIFS($K$4:$K$403,B113,$A$4:$A$403,"Plus one")&gt;C113-1,"More plus ones than party size",IF(AND(OR(D113="WhatsApp",D113="Both"),E113=""),"Add a phone number",IF(AND(OR(D113="Email",D113="Both"),F113=""),"Add an email",IF(AND(F113&lt;&gt;"",ISERROR(SEARCH("@",F113))),"Check the email","✓ Ready")))))))</f>
      </c>
      <c r="K113">
        <f>IF(A113="Plus one",K112,B113)</f>
      </c>
    </row>
    <row r="114" spans="1:11" x14ac:dyDescent="0.25">
      <c r="A114" s="16" t="s">
        <v>22</v>
      </c>
      <c r="B114" s="16"/>
      <c r="C114" s="17"/>
      <c r="D114" s="16"/>
      <c r="E114" s="18"/>
      <c r="F114" s="16"/>
      <c r="G114" s="16"/>
      <c r="H114" s="16"/>
      <c r="I114" s="16"/>
      <c r="J114" s="8">
        <f>IF(B114="",IF(AND(A114="Plus one",K114&lt;&gt;""),"↳ Plus one of "&amp;K114&amp;" (name TBC)",""),IF(A114="Plus one",IF(C114&lt;&gt;"","Leave party size empty",IF(K114="","Put it under a main guest","↳ Plus one of "&amp;K114)),IF(C114="","Add a party size",IF(COUNTIFS($K$4:$K$403,B114,$A$4:$A$403,"Plus one")&gt;C114-1,"More plus ones than party size",IF(AND(OR(D114="WhatsApp",D114="Both"),E114=""),"Add a phone number",IF(AND(OR(D114="Email",D114="Both"),F114=""),"Add an email",IF(AND(F114&lt;&gt;"",ISERROR(SEARCH("@",F114))),"Check the email","✓ Ready")))))))</f>
      </c>
      <c r="K114">
        <f>IF(A114="Plus one",K113,B114)</f>
      </c>
    </row>
    <row r="115" spans="1:11" x14ac:dyDescent="0.25">
      <c r="A115" s="13" t="s">
        <v>22</v>
      </c>
      <c r="B115" s="13"/>
      <c r="C115" s="14"/>
      <c r="D115" s="13"/>
      <c r="E115" s="15"/>
      <c r="F115" s="13"/>
      <c r="G115" s="13"/>
      <c r="H115" s="13"/>
      <c r="I115" s="13"/>
      <c r="J115" s="12">
        <f>IF(B115="",IF(AND(A115="Plus one",K115&lt;&gt;""),"↳ Plus one of "&amp;K115&amp;" (name TBC)",""),IF(A115="Plus one",IF(C115&lt;&gt;"","Leave party size empty",IF(K115="","Put it under a main guest","↳ Plus one of "&amp;K115)),IF(C115="","Add a party size",IF(COUNTIFS($K$4:$K$403,B115,$A$4:$A$403,"Plus one")&gt;C115-1,"More plus ones than party size",IF(AND(OR(D115="WhatsApp",D115="Both"),E115=""),"Add a phone number",IF(AND(OR(D115="Email",D115="Both"),F115=""),"Add an email",IF(AND(F115&lt;&gt;"",ISERROR(SEARCH("@",F115))),"Check the email","✓ Ready")))))))</f>
      </c>
      <c r="K115">
        <f>IF(A115="Plus one",K114,B115)</f>
      </c>
    </row>
    <row r="116" spans="1:11" x14ac:dyDescent="0.25">
      <c r="A116" s="16" t="s">
        <v>22</v>
      </c>
      <c r="B116" s="16"/>
      <c r="C116" s="17"/>
      <c r="D116" s="16"/>
      <c r="E116" s="18"/>
      <c r="F116" s="16"/>
      <c r="G116" s="16"/>
      <c r="H116" s="16"/>
      <c r="I116" s="16"/>
      <c r="J116" s="8">
        <f>IF(B116="",IF(AND(A116="Plus one",K116&lt;&gt;""),"↳ Plus one of "&amp;K116&amp;" (name TBC)",""),IF(A116="Plus one",IF(C116&lt;&gt;"","Leave party size empty",IF(K116="","Put it under a main guest","↳ Plus one of "&amp;K116)),IF(C116="","Add a party size",IF(COUNTIFS($K$4:$K$403,B116,$A$4:$A$403,"Plus one")&gt;C116-1,"More plus ones than party size",IF(AND(OR(D116="WhatsApp",D116="Both"),E116=""),"Add a phone number",IF(AND(OR(D116="Email",D116="Both"),F116=""),"Add an email",IF(AND(F116&lt;&gt;"",ISERROR(SEARCH("@",F116))),"Check the email","✓ Ready")))))))</f>
      </c>
      <c r="K116">
        <f>IF(A116="Plus one",K115,B116)</f>
      </c>
    </row>
    <row r="117" spans="1:11" x14ac:dyDescent="0.25">
      <c r="A117" s="13" t="s">
        <v>22</v>
      </c>
      <c r="B117" s="13"/>
      <c r="C117" s="14"/>
      <c r="D117" s="13"/>
      <c r="E117" s="15"/>
      <c r="F117" s="13"/>
      <c r="G117" s="13"/>
      <c r="H117" s="13"/>
      <c r="I117" s="13"/>
      <c r="J117" s="12">
        <f>IF(B117="",IF(AND(A117="Plus one",K117&lt;&gt;""),"↳ Plus one of "&amp;K117&amp;" (name TBC)",""),IF(A117="Plus one",IF(C117&lt;&gt;"","Leave party size empty",IF(K117="","Put it under a main guest","↳ Plus one of "&amp;K117)),IF(C117="","Add a party size",IF(COUNTIFS($K$4:$K$403,B117,$A$4:$A$403,"Plus one")&gt;C117-1,"More plus ones than party size",IF(AND(OR(D117="WhatsApp",D117="Both"),E117=""),"Add a phone number",IF(AND(OR(D117="Email",D117="Both"),F117=""),"Add an email",IF(AND(F117&lt;&gt;"",ISERROR(SEARCH("@",F117))),"Check the email","✓ Ready")))))))</f>
      </c>
      <c r="K117">
        <f>IF(A117="Plus one",K116,B117)</f>
      </c>
    </row>
    <row r="118" spans="1:11" x14ac:dyDescent="0.25">
      <c r="A118" s="16" t="s">
        <v>22</v>
      </c>
      <c r="B118" s="16"/>
      <c r="C118" s="17"/>
      <c r="D118" s="16"/>
      <c r="E118" s="18"/>
      <c r="F118" s="16"/>
      <c r="G118" s="16"/>
      <c r="H118" s="16"/>
      <c r="I118" s="16"/>
      <c r="J118" s="8">
        <f>IF(B118="",IF(AND(A118="Plus one",K118&lt;&gt;""),"↳ Plus one of "&amp;K118&amp;" (name TBC)",""),IF(A118="Plus one",IF(C118&lt;&gt;"","Leave party size empty",IF(K118="","Put it under a main guest","↳ Plus one of "&amp;K118)),IF(C118="","Add a party size",IF(COUNTIFS($K$4:$K$403,B118,$A$4:$A$403,"Plus one")&gt;C118-1,"More plus ones than party size",IF(AND(OR(D118="WhatsApp",D118="Both"),E118=""),"Add a phone number",IF(AND(OR(D118="Email",D118="Both"),F118=""),"Add an email",IF(AND(F118&lt;&gt;"",ISERROR(SEARCH("@",F118))),"Check the email","✓ Ready")))))))</f>
      </c>
      <c r="K118">
        <f>IF(A118="Plus one",K117,B118)</f>
      </c>
    </row>
    <row r="119" spans="1:11" x14ac:dyDescent="0.25">
      <c r="A119" s="13" t="s">
        <v>22</v>
      </c>
      <c r="B119" s="13"/>
      <c r="C119" s="14"/>
      <c r="D119" s="13"/>
      <c r="E119" s="15"/>
      <c r="F119" s="13"/>
      <c r="G119" s="13"/>
      <c r="H119" s="13"/>
      <c r="I119" s="13"/>
      <c r="J119" s="12">
        <f>IF(B119="",IF(AND(A119="Plus one",K119&lt;&gt;""),"↳ Plus one of "&amp;K119&amp;" (name TBC)",""),IF(A119="Plus one",IF(C119&lt;&gt;"","Leave party size empty",IF(K119="","Put it under a main guest","↳ Plus one of "&amp;K119)),IF(C119="","Add a party size",IF(COUNTIFS($K$4:$K$403,B119,$A$4:$A$403,"Plus one")&gt;C119-1,"More plus ones than party size",IF(AND(OR(D119="WhatsApp",D119="Both"),E119=""),"Add a phone number",IF(AND(OR(D119="Email",D119="Both"),F119=""),"Add an email",IF(AND(F119&lt;&gt;"",ISERROR(SEARCH("@",F119))),"Check the email","✓ Ready")))))))</f>
      </c>
      <c r="K119">
        <f>IF(A119="Plus one",K118,B119)</f>
      </c>
    </row>
    <row r="120" spans="1:11" x14ac:dyDescent="0.25">
      <c r="A120" s="16" t="s">
        <v>22</v>
      </c>
      <c r="B120" s="16"/>
      <c r="C120" s="17"/>
      <c r="D120" s="16"/>
      <c r="E120" s="18"/>
      <c r="F120" s="16"/>
      <c r="G120" s="16"/>
      <c r="H120" s="16"/>
      <c r="I120" s="16"/>
      <c r="J120" s="8">
        <f>IF(B120="",IF(AND(A120="Plus one",K120&lt;&gt;""),"↳ Plus one of "&amp;K120&amp;" (name TBC)",""),IF(A120="Plus one",IF(C120&lt;&gt;"","Leave party size empty",IF(K120="","Put it under a main guest","↳ Plus one of "&amp;K120)),IF(C120="","Add a party size",IF(COUNTIFS($K$4:$K$403,B120,$A$4:$A$403,"Plus one")&gt;C120-1,"More plus ones than party size",IF(AND(OR(D120="WhatsApp",D120="Both"),E120=""),"Add a phone number",IF(AND(OR(D120="Email",D120="Both"),F120=""),"Add an email",IF(AND(F120&lt;&gt;"",ISERROR(SEARCH("@",F120))),"Check the email","✓ Ready")))))))</f>
      </c>
      <c r="K120">
        <f>IF(A120="Plus one",K119,B120)</f>
      </c>
    </row>
    <row r="121" spans="1:11" x14ac:dyDescent="0.25">
      <c r="A121" s="13" t="s">
        <v>22</v>
      </c>
      <c r="B121" s="13"/>
      <c r="C121" s="14"/>
      <c r="D121" s="13"/>
      <c r="E121" s="15"/>
      <c r="F121" s="13"/>
      <c r="G121" s="13"/>
      <c r="H121" s="13"/>
      <c r="I121" s="13"/>
      <c r="J121" s="12">
        <f>IF(B121="",IF(AND(A121="Plus one",K121&lt;&gt;""),"↳ Plus one of "&amp;K121&amp;" (name TBC)",""),IF(A121="Plus one",IF(C121&lt;&gt;"","Leave party size empty",IF(K121="","Put it under a main guest","↳ Plus one of "&amp;K121)),IF(C121="","Add a party size",IF(COUNTIFS($K$4:$K$403,B121,$A$4:$A$403,"Plus one")&gt;C121-1,"More plus ones than party size",IF(AND(OR(D121="WhatsApp",D121="Both"),E121=""),"Add a phone number",IF(AND(OR(D121="Email",D121="Both"),F121=""),"Add an email",IF(AND(F121&lt;&gt;"",ISERROR(SEARCH("@",F121))),"Check the email","✓ Ready")))))))</f>
      </c>
      <c r="K121">
        <f>IF(A121="Plus one",K120,B121)</f>
      </c>
    </row>
    <row r="122" spans="1:11" x14ac:dyDescent="0.25">
      <c r="A122" s="16" t="s">
        <v>22</v>
      </c>
      <c r="B122" s="16"/>
      <c r="C122" s="17"/>
      <c r="D122" s="16"/>
      <c r="E122" s="18"/>
      <c r="F122" s="16"/>
      <c r="G122" s="16"/>
      <c r="H122" s="16"/>
      <c r="I122" s="16"/>
      <c r="J122" s="8">
        <f>IF(B122="",IF(AND(A122="Plus one",K122&lt;&gt;""),"↳ Plus one of "&amp;K122&amp;" (name TBC)",""),IF(A122="Plus one",IF(C122&lt;&gt;"","Leave party size empty",IF(K122="","Put it under a main guest","↳ Plus one of "&amp;K122)),IF(C122="","Add a party size",IF(COUNTIFS($K$4:$K$403,B122,$A$4:$A$403,"Plus one")&gt;C122-1,"More plus ones than party size",IF(AND(OR(D122="WhatsApp",D122="Both"),E122=""),"Add a phone number",IF(AND(OR(D122="Email",D122="Both"),F122=""),"Add an email",IF(AND(F122&lt;&gt;"",ISERROR(SEARCH("@",F122))),"Check the email","✓ Ready")))))))</f>
      </c>
      <c r="K122">
        <f>IF(A122="Plus one",K121,B122)</f>
      </c>
    </row>
    <row r="123" spans="1:11" x14ac:dyDescent="0.25">
      <c r="A123" s="13" t="s">
        <v>22</v>
      </c>
      <c r="B123" s="13"/>
      <c r="C123" s="14"/>
      <c r="D123" s="13"/>
      <c r="E123" s="15"/>
      <c r="F123" s="13"/>
      <c r="G123" s="13"/>
      <c r="H123" s="13"/>
      <c r="I123" s="13"/>
      <c r="J123" s="12">
        <f>IF(B123="",IF(AND(A123="Plus one",K123&lt;&gt;""),"↳ Plus one of "&amp;K123&amp;" (name TBC)",""),IF(A123="Plus one",IF(C123&lt;&gt;"","Leave party size empty",IF(K123="","Put it under a main guest","↳ Plus one of "&amp;K123)),IF(C123="","Add a party size",IF(COUNTIFS($K$4:$K$403,B123,$A$4:$A$403,"Plus one")&gt;C123-1,"More plus ones than party size",IF(AND(OR(D123="WhatsApp",D123="Both"),E123=""),"Add a phone number",IF(AND(OR(D123="Email",D123="Both"),F123=""),"Add an email",IF(AND(F123&lt;&gt;"",ISERROR(SEARCH("@",F123))),"Check the email","✓ Ready")))))))</f>
      </c>
      <c r="K123">
        <f>IF(A123="Plus one",K122,B123)</f>
      </c>
    </row>
    <row r="124" spans="1:11" x14ac:dyDescent="0.25">
      <c r="A124" s="16" t="s">
        <v>22</v>
      </c>
      <c r="B124" s="16"/>
      <c r="C124" s="17"/>
      <c r="D124" s="16"/>
      <c r="E124" s="18"/>
      <c r="F124" s="16"/>
      <c r="G124" s="16"/>
      <c r="H124" s="16"/>
      <c r="I124" s="16"/>
      <c r="J124" s="8">
        <f>IF(B124="",IF(AND(A124="Plus one",K124&lt;&gt;""),"↳ Plus one of "&amp;K124&amp;" (name TBC)",""),IF(A124="Plus one",IF(C124&lt;&gt;"","Leave party size empty",IF(K124="","Put it under a main guest","↳ Plus one of "&amp;K124)),IF(C124="","Add a party size",IF(COUNTIFS($K$4:$K$403,B124,$A$4:$A$403,"Plus one")&gt;C124-1,"More plus ones than party size",IF(AND(OR(D124="WhatsApp",D124="Both"),E124=""),"Add a phone number",IF(AND(OR(D124="Email",D124="Both"),F124=""),"Add an email",IF(AND(F124&lt;&gt;"",ISERROR(SEARCH("@",F124))),"Check the email","✓ Ready")))))))</f>
      </c>
      <c r="K124">
        <f>IF(A124="Plus one",K123,B124)</f>
      </c>
    </row>
    <row r="125" spans="1:11" x14ac:dyDescent="0.25">
      <c r="A125" s="13" t="s">
        <v>22</v>
      </c>
      <c r="B125" s="13"/>
      <c r="C125" s="14"/>
      <c r="D125" s="13"/>
      <c r="E125" s="15"/>
      <c r="F125" s="13"/>
      <c r="G125" s="13"/>
      <c r="H125" s="13"/>
      <c r="I125" s="13"/>
      <c r="J125" s="12">
        <f>IF(B125="",IF(AND(A125="Plus one",K125&lt;&gt;""),"↳ Plus one of "&amp;K125&amp;" (name TBC)",""),IF(A125="Plus one",IF(C125&lt;&gt;"","Leave party size empty",IF(K125="","Put it under a main guest","↳ Plus one of "&amp;K125)),IF(C125="","Add a party size",IF(COUNTIFS($K$4:$K$403,B125,$A$4:$A$403,"Plus one")&gt;C125-1,"More plus ones than party size",IF(AND(OR(D125="WhatsApp",D125="Both"),E125=""),"Add a phone number",IF(AND(OR(D125="Email",D125="Both"),F125=""),"Add an email",IF(AND(F125&lt;&gt;"",ISERROR(SEARCH("@",F125))),"Check the email","✓ Ready")))))))</f>
      </c>
      <c r="K125">
        <f>IF(A125="Plus one",K124,B125)</f>
      </c>
    </row>
    <row r="126" spans="1:11" x14ac:dyDescent="0.25">
      <c r="A126" s="16" t="s">
        <v>22</v>
      </c>
      <c r="B126" s="16"/>
      <c r="C126" s="17"/>
      <c r="D126" s="16"/>
      <c r="E126" s="18"/>
      <c r="F126" s="16"/>
      <c r="G126" s="16"/>
      <c r="H126" s="16"/>
      <c r="I126" s="16"/>
      <c r="J126" s="8">
        <f>IF(B126="",IF(AND(A126="Plus one",K126&lt;&gt;""),"↳ Plus one of "&amp;K126&amp;" (name TBC)",""),IF(A126="Plus one",IF(C126&lt;&gt;"","Leave party size empty",IF(K126="","Put it under a main guest","↳ Plus one of "&amp;K126)),IF(C126="","Add a party size",IF(COUNTIFS($K$4:$K$403,B126,$A$4:$A$403,"Plus one")&gt;C126-1,"More plus ones than party size",IF(AND(OR(D126="WhatsApp",D126="Both"),E126=""),"Add a phone number",IF(AND(OR(D126="Email",D126="Both"),F126=""),"Add an email",IF(AND(F126&lt;&gt;"",ISERROR(SEARCH("@",F126))),"Check the email","✓ Ready")))))))</f>
      </c>
      <c r="K126">
        <f>IF(A126="Plus one",K125,B126)</f>
      </c>
    </row>
    <row r="127" spans="1:11" x14ac:dyDescent="0.25">
      <c r="A127" s="13" t="s">
        <v>22</v>
      </c>
      <c r="B127" s="13"/>
      <c r="C127" s="14"/>
      <c r="D127" s="13"/>
      <c r="E127" s="15"/>
      <c r="F127" s="13"/>
      <c r="G127" s="13"/>
      <c r="H127" s="13"/>
      <c r="I127" s="13"/>
      <c r="J127" s="12">
        <f>IF(B127="",IF(AND(A127="Plus one",K127&lt;&gt;""),"↳ Plus one of "&amp;K127&amp;" (name TBC)",""),IF(A127="Plus one",IF(C127&lt;&gt;"","Leave party size empty",IF(K127="","Put it under a main guest","↳ Plus one of "&amp;K127)),IF(C127="","Add a party size",IF(COUNTIFS($K$4:$K$403,B127,$A$4:$A$403,"Plus one")&gt;C127-1,"More plus ones than party size",IF(AND(OR(D127="WhatsApp",D127="Both"),E127=""),"Add a phone number",IF(AND(OR(D127="Email",D127="Both"),F127=""),"Add an email",IF(AND(F127&lt;&gt;"",ISERROR(SEARCH("@",F127))),"Check the email","✓ Ready")))))))</f>
      </c>
      <c r="K127">
        <f>IF(A127="Plus one",K126,B127)</f>
      </c>
    </row>
    <row r="128" spans="1:11" x14ac:dyDescent="0.25">
      <c r="A128" s="16" t="s">
        <v>22</v>
      </c>
      <c r="B128" s="16"/>
      <c r="C128" s="17"/>
      <c r="D128" s="16"/>
      <c r="E128" s="18"/>
      <c r="F128" s="16"/>
      <c r="G128" s="16"/>
      <c r="H128" s="16"/>
      <c r="I128" s="16"/>
      <c r="J128" s="8">
        <f>IF(B128="",IF(AND(A128="Plus one",K128&lt;&gt;""),"↳ Plus one of "&amp;K128&amp;" (name TBC)",""),IF(A128="Plus one",IF(C128&lt;&gt;"","Leave party size empty",IF(K128="","Put it under a main guest","↳ Plus one of "&amp;K128)),IF(C128="","Add a party size",IF(COUNTIFS($K$4:$K$403,B128,$A$4:$A$403,"Plus one")&gt;C128-1,"More plus ones than party size",IF(AND(OR(D128="WhatsApp",D128="Both"),E128=""),"Add a phone number",IF(AND(OR(D128="Email",D128="Both"),F128=""),"Add an email",IF(AND(F128&lt;&gt;"",ISERROR(SEARCH("@",F128))),"Check the email","✓ Ready")))))))</f>
      </c>
      <c r="K128">
        <f>IF(A128="Plus one",K127,B128)</f>
      </c>
    </row>
    <row r="129" spans="1:11" x14ac:dyDescent="0.25">
      <c r="A129" s="13" t="s">
        <v>22</v>
      </c>
      <c r="B129" s="13"/>
      <c r="C129" s="14"/>
      <c r="D129" s="13"/>
      <c r="E129" s="15"/>
      <c r="F129" s="13"/>
      <c r="G129" s="13"/>
      <c r="H129" s="13"/>
      <c r="I129" s="13"/>
      <c r="J129" s="12">
        <f>IF(B129="",IF(AND(A129="Plus one",K129&lt;&gt;""),"↳ Plus one of "&amp;K129&amp;" (name TBC)",""),IF(A129="Plus one",IF(C129&lt;&gt;"","Leave party size empty",IF(K129="","Put it under a main guest","↳ Plus one of "&amp;K129)),IF(C129="","Add a party size",IF(COUNTIFS($K$4:$K$403,B129,$A$4:$A$403,"Plus one")&gt;C129-1,"More plus ones than party size",IF(AND(OR(D129="WhatsApp",D129="Both"),E129=""),"Add a phone number",IF(AND(OR(D129="Email",D129="Both"),F129=""),"Add an email",IF(AND(F129&lt;&gt;"",ISERROR(SEARCH("@",F129))),"Check the email","✓ Ready")))))))</f>
      </c>
      <c r="K129">
        <f>IF(A129="Plus one",K128,B129)</f>
      </c>
    </row>
    <row r="130" spans="1:11" x14ac:dyDescent="0.25">
      <c r="A130" s="16" t="s">
        <v>22</v>
      </c>
      <c r="B130" s="16"/>
      <c r="C130" s="17"/>
      <c r="D130" s="16"/>
      <c r="E130" s="18"/>
      <c r="F130" s="16"/>
      <c r="G130" s="16"/>
      <c r="H130" s="16"/>
      <c r="I130" s="16"/>
      <c r="J130" s="8">
        <f>IF(B130="",IF(AND(A130="Plus one",K130&lt;&gt;""),"↳ Plus one of "&amp;K130&amp;" (name TBC)",""),IF(A130="Plus one",IF(C130&lt;&gt;"","Leave party size empty",IF(K130="","Put it under a main guest","↳ Plus one of "&amp;K130)),IF(C130="","Add a party size",IF(COUNTIFS($K$4:$K$403,B130,$A$4:$A$403,"Plus one")&gt;C130-1,"More plus ones than party size",IF(AND(OR(D130="WhatsApp",D130="Both"),E130=""),"Add a phone number",IF(AND(OR(D130="Email",D130="Both"),F130=""),"Add an email",IF(AND(F130&lt;&gt;"",ISERROR(SEARCH("@",F130))),"Check the email","✓ Ready")))))))</f>
      </c>
      <c r="K130">
        <f>IF(A130="Plus one",K129,B130)</f>
      </c>
    </row>
    <row r="131" spans="1:11" x14ac:dyDescent="0.25">
      <c r="A131" s="13" t="s">
        <v>22</v>
      </c>
      <c r="B131" s="13"/>
      <c r="C131" s="14"/>
      <c r="D131" s="13"/>
      <c r="E131" s="15"/>
      <c r="F131" s="13"/>
      <c r="G131" s="13"/>
      <c r="H131" s="13"/>
      <c r="I131" s="13"/>
      <c r="J131" s="12">
        <f>IF(B131="",IF(AND(A131="Plus one",K131&lt;&gt;""),"↳ Plus one of "&amp;K131&amp;" (name TBC)",""),IF(A131="Plus one",IF(C131&lt;&gt;"","Leave party size empty",IF(K131="","Put it under a main guest","↳ Plus one of "&amp;K131)),IF(C131="","Add a party size",IF(COUNTIFS($K$4:$K$403,B131,$A$4:$A$403,"Plus one")&gt;C131-1,"More plus ones than party size",IF(AND(OR(D131="WhatsApp",D131="Both"),E131=""),"Add a phone number",IF(AND(OR(D131="Email",D131="Both"),F131=""),"Add an email",IF(AND(F131&lt;&gt;"",ISERROR(SEARCH("@",F131))),"Check the email","✓ Ready")))))))</f>
      </c>
      <c r="K131">
        <f>IF(A131="Plus one",K130,B131)</f>
      </c>
    </row>
    <row r="132" spans="1:11" x14ac:dyDescent="0.25">
      <c r="A132" s="16" t="s">
        <v>22</v>
      </c>
      <c r="B132" s="16"/>
      <c r="C132" s="17"/>
      <c r="D132" s="16"/>
      <c r="E132" s="18"/>
      <c r="F132" s="16"/>
      <c r="G132" s="16"/>
      <c r="H132" s="16"/>
      <c r="I132" s="16"/>
      <c r="J132" s="8">
        <f>IF(B132="",IF(AND(A132="Plus one",K132&lt;&gt;""),"↳ Plus one of "&amp;K132&amp;" (name TBC)",""),IF(A132="Plus one",IF(C132&lt;&gt;"","Leave party size empty",IF(K132="","Put it under a main guest","↳ Plus one of "&amp;K132)),IF(C132="","Add a party size",IF(COUNTIFS($K$4:$K$403,B132,$A$4:$A$403,"Plus one")&gt;C132-1,"More plus ones than party size",IF(AND(OR(D132="WhatsApp",D132="Both"),E132=""),"Add a phone number",IF(AND(OR(D132="Email",D132="Both"),F132=""),"Add an email",IF(AND(F132&lt;&gt;"",ISERROR(SEARCH("@",F132))),"Check the email","✓ Ready")))))))</f>
      </c>
      <c r="K132">
        <f>IF(A132="Plus one",K131,B132)</f>
      </c>
    </row>
    <row r="133" spans="1:11" x14ac:dyDescent="0.25">
      <c r="A133" s="13" t="s">
        <v>22</v>
      </c>
      <c r="B133" s="13"/>
      <c r="C133" s="14"/>
      <c r="D133" s="13"/>
      <c r="E133" s="15"/>
      <c r="F133" s="13"/>
      <c r="G133" s="13"/>
      <c r="H133" s="13"/>
      <c r="I133" s="13"/>
      <c r="J133" s="12">
        <f>IF(B133="",IF(AND(A133="Plus one",K133&lt;&gt;""),"↳ Plus one of "&amp;K133&amp;" (name TBC)",""),IF(A133="Plus one",IF(C133&lt;&gt;"","Leave party size empty",IF(K133="","Put it under a main guest","↳ Plus one of "&amp;K133)),IF(C133="","Add a party size",IF(COUNTIFS($K$4:$K$403,B133,$A$4:$A$403,"Plus one")&gt;C133-1,"More plus ones than party size",IF(AND(OR(D133="WhatsApp",D133="Both"),E133=""),"Add a phone number",IF(AND(OR(D133="Email",D133="Both"),F133=""),"Add an email",IF(AND(F133&lt;&gt;"",ISERROR(SEARCH("@",F133))),"Check the email","✓ Ready")))))))</f>
      </c>
      <c r="K133">
        <f>IF(A133="Plus one",K132,B133)</f>
      </c>
    </row>
    <row r="134" spans="1:11" x14ac:dyDescent="0.25">
      <c r="A134" s="16" t="s">
        <v>22</v>
      </c>
      <c r="B134" s="16"/>
      <c r="C134" s="17"/>
      <c r="D134" s="16"/>
      <c r="E134" s="18"/>
      <c r="F134" s="16"/>
      <c r="G134" s="16"/>
      <c r="H134" s="16"/>
      <c r="I134" s="16"/>
      <c r="J134" s="8">
        <f>IF(B134="",IF(AND(A134="Plus one",K134&lt;&gt;""),"↳ Plus one of "&amp;K134&amp;" (name TBC)",""),IF(A134="Plus one",IF(C134&lt;&gt;"","Leave party size empty",IF(K134="","Put it under a main guest","↳ Plus one of "&amp;K134)),IF(C134="","Add a party size",IF(COUNTIFS($K$4:$K$403,B134,$A$4:$A$403,"Plus one")&gt;C134-1,"More plus ones than party size",IF(AND(OR(D134="WhatsApp",D134="Both"),E134=""),"Add a phone number",IF(AND(OR(D134="Email",D134="Both"),F134=""),"Add an email",IF(AND(F134&lt;&gt;"",ISERROR(SEARCH("@",F134))),"Check the email","✓ Ready")))))))</f>
      </c>
      <c r="K134">
        <f>IF(A134="Plus one",K133,B134)</f>
      </c>
    </row>
    <row r="135" spans="1:11" x14ac:dyDescent="0.25">
      <c r="A135" s="13" t="s">
        <v>22</v>
      </c>
      <c r="B135" s="13"/>
      <c r="C135" s="14"/>
      <c r="D135" s="13"/>
      <c r="E135" s="15"/>
      <c r="F135" s="13"/>
      <c r="G135" s="13"/>
      <c r="H135" s="13"/>
      <c r="I135" s="13"/>
      <c r="J135" s="12">
        <f>IF(B135="",IF(AND(A135="Plus one",K135&lt;&gt;""),"↳ Plus one of "&amp;K135&amp;" (name TBC)",""),IF(A135="Plus one",IF(C135&lt;&gt;"","Leave party size empty",IF(K135="","Put it under a main guest","↳ Plus one of "&amp;K135)),IF(C135="","Add a party size",IF(COUNTIFS($K$4:$K$403,B135,$A$4:$A$403,"Plus one")&gt;C135-1,"More plus ones than party size",IF(AND(OR(D135="WhatsApp",D135="Both"),E135=""),"Add a phone number",IF(AND(OR(D135="Email",D135="Both"),F135=""),"Add an email",IF(AND(F135&lt;&gt;"",ISERROR(SEARCH("@",F135))),"Check the email","✓ Ready")))))))</f>
      </c>
      <c r="K135">
        <f>IF(A135="Plus one",K134,B135)</f>
      </c>
    </row>
    <row r="136" spans="1:11" x14ac:dyDescent="0.25">
      <c r="A136" s="16" t="s">
        <v>22</v>
      </c>
      <c r="B136" s="16"/>
      <c r="C136" s="17"/>
      <c r="D136" s="16"/>
      <c r="E136" s="18"/>
      <c r="F136" s="16"/>
      <c r="G136" s="16"/>
      <c r="H136" s="16"/>
      <c r="I136" s="16"/>
      <c r="J136" s="8">
        <f>IF(B136="",IF(AND(A136="Plus one",K136&lt;&gt;""),"↳ Plus one of "&amp;K136&amp;" (name TBC)",""),IF(A136="Plus one",IF(C136&lt;&gt;"","Leave party size empty",IF(K136="","Put it under a main guest","↳ Plus one of "&amp;K136)),IF(C136="","Add a party size",IF(COUNTIFS($K$4:$K$403,B136,$A$4:$A$403,"Plus one")&gt;C136-1,"More plus ones than party size",IF(AND(OR(D136="WhatsApp",D136="Both"),E136=""),"Add a phone number",IF(AND(OR(D136="Email",D136="Both"),F136=""),"Add an email",IF(AND(F136&lt;&gt;"",ISERROR(SEARCH("@",F136))),"Check the email","✓ Ready")))))))</f>
      </c>
      <c r="K136">
        <f>IF(A136="Plus one",K135,B136)</f>
      </c>
    </row>
    <row r="137" spans="1:11" x14ac:dyDescent="0.25">
      <c r="A137" s="13" t="s">
        <v>22</v>
      </c>
      <c r="B137" s="13"/>
      <c r="C137" s="14"/>
      <c r="D137" s="13"/>
      <c r="E137" s="15"/>
      <c r="F137" s="13"/>
      <c r="G137" s="13"/>
      <c r="H137" s="13"/>
      <c r="I137" s="13"/>
      <c r="J137" s="12">
        <f>IF(B137="",IF(AND(A137="Plus one",K137&lt;&gt;""),"↳ Plus one of "&amp;K137&amp;" (name TBC)",""),IF(A137="Plus one",IF(C137&lt;&gt;"","Leave party size empty",IF(K137="","Put it under a main guest","↳ Plus one of "&amp;K137)),IF(C137="","Add a party size",IF(COUNTIFS($K$4:$K$403,B137,$A$4:$A$403,"Plus one")&gt;C137-1,"More plus ones than party size",IF(AND(OR(D137="WhatsApp",D137="Both"),E137=""),"Add a phone number",IF(AND(OR(D137="Email",D137="Both"),F137=""),"Add an email",IF(AND(F137&lt;&gt;"",ISERROR(SEARCH("@",F137))),"Check the email","✓ Ready")))))))</f>
      </c>
      <c r="K137">
        <f>IF(A137="Plus one",K136,B137)</f>
      </c>
    </row>
    <row r="138" spans="1:11" x14ac:dyDescent="0.25">
      <c r="A138" s="16" t="s">
        <v>22</v>
      </c>
      <c r="B138" s="16"/>
      <c r="C138" s="17"/>
      <c r="D138" s="16"/>
      <c r="E138" s="18"/>
      <c r="F138" s="16"/>
      <c r="G138" s="16"/>
      <c r="H138" s="16"/>
      <c r="I138" s="16"/>
      <c r="J138" s="8">
        <f>IF(B138="",IF(AND(A138="Plus one",K138&lt;&gt;""),"↳ Plus one of "&amp;K138&amp;" (name TBC)",""),IF(A138="Plus one",IF(C138&lt;&gt;"","Leave party size empty",IF(K138="","Put it under a main guest","↳ Plus one of "&amp;K138)),IF(C138="","Add a party size",IF(COUNTIFS($K$4:$K$403,B138,$A$4:$A$403,"Plus one")&gt;C138-1,"More plus ones than party size",IF(AND(OR(D138="WhatsApp",D138="Both"),E138=""),"Add a phone number",IF(AND(OR(D138="Email",D138="Both"),F138=""),"Add an email",IF(AND(F138&lt;&gt;"",ISERROR(SEARCH("@",F138))),"Check the email","✓ Ready")))))))</f>
      </c>
      <c r="K138">
        <f>IF(A138="Plus one",K137,B138)</f>
      </c>
    </row>
    <row r="139" spans="1:11" x14ac:dyDescent="0.25">
      <c r="A139" s="13" t="s">
        <v>22</v>
      </c>
      <c r="B139" s="13"/>
      <c r="C139" s="14"/>
      <c r="D139" s="13"/>
      <c r="E139" s="15"/>
      <c r="F139" s="13"/>
      <c r="G139" s="13"/>
      <c r="H139" s="13"/>
      <c r="I139" s="13"/>
      <c r="J139" s="12">
        <f>IF(B139="",IF(AND(A139="Plus one",K139&lt;&gt;""),"↳ Plus one of "&amp;K139&amp;" (name TBC)",""),IF(A139="Plus one",IF(C139&lt;&gt;"","Leave party size empty",IF(K139="","Put it under a main guest","↳ Plus one of "&amp;K139)),IF(C139="","Add a party size",IF(COUNTIFS($K$4:$K$403,B139,$A$4:$A$403,"Plus one")&gt;C139-1,"More plus ones than party size",IF(AND(OR(D139="WhatsApp",D139="Both"),E139=""),"Add a phone number",IF(AND(OR(D139="Email",D139="Both"),F139=""),"Add an email",IF(AND(F139&lt;&gt;"",ISERROR(SEARCH("@",F139))),"Check the email","✓ Ready")))))))</f>
      </c>
      <c r="K139">
        <f>IF(A139="Plus one",K138,B139)</f>
      </c>
    </row>
    <row r="140" spans="1:11" x14ac:dyDescent="0.25">
      <c r="A140" s="16" t="s">
        <v>22</v>
      </c>
      <c r="B140" s="16"/>
      <c r="C140" s="17"/>
      <c r="D140" s="16"/>
      <c r="E140" s="18"/>
      <c r="F140" s="16"/>
      <c r="G140" s="16"/>
      <c r="H140" s="16"/>
      <c r="I140" s="16"/>
      <c r="J140" s="8">
        <f>IF(B140="",IF(AND(A140="Plus one",K140&lt;&gt;""),"↳ Plus one of "&amp;K140&amp;" (name TBC)",""),IF(A140="Plus one",IF(C140&lt;&gt;"","Leave party size empty",IF(K140="","Put it under a main guest","↳ Plus one of "&amp;K140)),IF(C140="","Add a party size",IF(COUNTIFS($K$4:$K$403,B140,$A$4:$A$403,"Plus one")&gt;C140-1,"More plus ones than party size",IF(AND(OR(D140="WhatsApp",D140="Both"),E140=""),"Add a phone number",IF(AND(OR(D140="Email",D140="Both"),F140=""),"Add an email",IF(AND(F140&lt;&gt;"",ISERROR(SEARCH("@",F140))),"Check the email","✓ Ready")))))))</f>
      </c>
      <c r="K140">
        <f>IF(A140="Plus one",K139,B140)</f>
      </c>
    </row>
    <row r="141" spans="1:11" x14ac:dyDescent="0.25">
      <c r="A141" s="13" t="s">
        <v>22</v>
      </c>
      <c r="B141" s="13"/>
      <c r="C141" s="14"/>
      <c r="D141" s="13"/>
      <c r="E141" s="15"/>
      <c r="F141" s="13"/>
      <c r="G141" s="13"/>
      <c r="H141" s="13"/>
      <c r="I141" s="13"/>
      <c r="J141" s="12">
        <f>IF(B141="",IF(AND(A141="Plus one",K141&lt;&gt;""),"↳ Plus one of "&amp;K141&amp;" (name TBC)",""),IF(A141="Plus one",IF(C141&lt;&gt;"","Leave party size empty",IF(K141="","Put it under a main guest","↳ Plus one of "&amp;K141)),IF(C141="","Add a party size",IF(COUNTIFS($K$4:$K$403,B141,$A$4:$A$403,"Plus one")&gt;C141-1,"More plus ones than party size",IF(AND(OR(D141="WhatsApp",D141="Both"),E141=""),"Add a phone number",IF(AND(OR(D141="Email",D141="Both"),F141=""),"Add an email",IF(AND(F141&lt;&gt;"",ISERROR(SEARCH("@",F141))),"Check the email","✓ Ready")))))))</f>
      </c>
      <c r="K141">
        <f>IF(A141="Plus one",K140,B141)</f>
      </c>
    </row>
    <row r="142" spans="1:11" x14ac:dyDescent="0.25">
      <c r="A142" s="16" t="s">
        <v>22</v>
      </c>
      <c r="B142" s="16"/>
      <c r="C142" s="17"/>
      <c r="D142" s="16"/>
      <c r="E142" s="18"/>
      <c r="F142" s="16"/>
      <c r="G142" s="16"/>
      <c r="H142" s="16"/>
      <c r="I142" s="16"/>
      <c r="J142" s="8">
        <f>IF(B142="",IF(AND(A142="Plus one",K142&lt;&gt;""),"↳ Plus one of "&amp;K142&amp;" (name TBC)",""),IF(A142="Plus one",IF(C142&lt;&gt;"","Leave party size empty",IF(K142="","Put it under a main guest","↳ Plus one of "&amp;K142)),IF(C142="","Add a party size",IF(COUNTIFS($K$4:$K$403,B142,$A$4:$A$403,"Plus one")&gt;C142-1,"More plus ones than party size",IF(AND(OR(D142="WhatsApp",D142="Both"),E142=""),"Add a phone number",IF(AND(OR(D142="Email",D142="Both"),F142=""),"Add an email",IF(AND(F142&lt;&gt;"",ISERROR(SEARCH("@",F142))),"Check the email","✓ Ready")))))))</f>
      </c>
      <c r="K142">
        <f>IF(A142="Plus one",K141,B142)</f>
      </c>
    </row>
    <row r="143" spans="1:11" x14ac:dyDescent="0.25">
      <c r="A143" s="13" t="s">
        <v>22</v>
      </c>
      <c r="B143" s="13"/>
      <c r="C143" s="14"/>
      <c r="D143" s="13"/>
      <c r="E143" s="15"/>
      <c r="F143" s="13"/>
      <c r="G143" s="13"/>
      <c r="H143" s="13"/>
      <c r="I143" s="13"/>
      <c r="J143" s="12">
        <f>IF(B143="",IF(AND(A143="Plus one",K143&lt;&gt;""),"↳ Plus one of "&amp;K143&amp;" (name TBC)",""),IF(A143="Plus one",IF(C143&lt;&gt;"","Leave party size empty",IF(K143="","Put it under a main guest","↳ Plus one of "&amp;K143)),IF(C143="","Add a party size",IF(COUNTIFS($K$4:$K$403,B143,$A$4:$A$403,"Plus one")&gt;C143-1,"More plus ones than party size",IF(AND(OR(D143="WhatsApp",D143="Both"),E143=""),"Add a phone number",IF(AND(OR(D143="Email",D143="Both"),F143=""),"Add an email",IF(AND(F143&lt;&gt;"",ISERROR(SEARCH("@",F143))),"Check the email","✓ Ready")))))))</f>
      </c>
      <c r="K143">
        <f>IF(A143="Plus one",K142,B143)</f>
      </c>
    </row>
    <row r="144" spans="1:11" x14ac:dyDescent="0.25">
      <c r="A144" s="16" t="s">
        <v>22</v>
      </c>
      <c r="B144" s="16"/>
      <c r="C144" s="17"/>
      <c r="D144" s="16"/>
      <c r="E144" s="18"/>
      <c r="F144" s="16"/>
      <c r="G144" s="16"/>
      <c r="H144" s="16"/>
      <c r="I144" s="16"/>
      <c r="J144" s="8">
        <f>IF(B144="",IF(AND(A144="Plus one",K144&lt;&gt;""),"↳ Plus one of "&amp;K144&amp;" (name TBC)",""),IF(A144="Plus one",IF(C144&lt;&gt;"","Leave party size empty",IF(K144="","Put it under a main guest","↳ Plus one of "&amp;K144)),IF(C144="","Add a party size",IF(COUNTIFS($K$4:$K$403,B144,$A$4:$A$403,"Plus one")&gt;C144-1,"More plus ones than party size",IF(AND(OR(D144="WhatsApp",D144="Both"),E144=""),"Add a phone number",IF(AND(OR(D144="Email",D144="Both"),F144=""),"Add an email",IF(AND(F144&lt;&gt;"",ISERROR(SEARCH("@",F144))),"Check the email","✓ Ready")))))))</f>
      </c>
      <c r="K144">
        <f>IF(A144="Plus one",K143,B144)</f>
      </c>
    </row>
    <row r="145" spans="1:11" x14ac:dyDescent="0.25">
      <c r="A145" s="13" t="s">
        <v>22</v>
      </c>
      <c r="B145" s="13"/>
      <c r="C145" s="14"/>
      <c r="D145" s="13"/>
      <c r="E145" s="15"/>
      <c r="F145" s="13"/>
      <c r="G145" s="13"/>
      <c r="H145" s="13"/>
      <c r="I145" s="13"/>
      <c r="J145" s="12">
        <f>IF(B145="",IF(AND(A145="Plus one",K145&lt;&gt;""),"↳ Plus one of "&amp;K145&amp;" (name TBC)",""),IF(A145="Plus one",IF(C145&lt;&gt;"","Leave party size empty",IF(K145="","Put it under a main guest","↳ Plus one of "&amp;K145)),IF(C145="","Add a party size",IF(COUNTIFS($K$4:$K$403,B145,$A$4:$A$403,"Plus one")&gt;C145-1,"More plus ones than party size",IF(AND(OR(D145="WhatsApp",D145="Both"),E145=""),"Add a phone number",IF(AND(OR(D145="Email",D145="Both"),F145=""),"Add an email",IF(AND(F145&lt;&gt;"",ISERROR(SEARCH("@",F145))),"Check the email","✓ Ready")))))))</f>
      </c>
      <c r="K145">
        <f>IF(A145="Plus one",K144,B145)</f>
      </c>
    </row>
    <row r="146" spans="1:11" x14ac:dyDescent="0.25">
      <c r="A146" s="16" t="s">
        <v>22</v>
      </c>
      <c r="B146" s="16"/>
      <c r="C146" s="17"/>
      <c r="D146" s="16"/>
      <c r="E146" s="18"/>
      <c r="F146" s="16"/>
      <c r="G146" s="16"/>
      <c r="H146" s="16"/>
      <c r="I146" s="16"/>
      <c r="J146" s="8">
        <f>IF(B146="",IF(AND(A146="Plus one",K146&lt;&gt;""),"↳ Plus one of "&amp;K146&amp;" (name TBC)",""),IF(A146="Plus one",IF(C146&lt;&gt;"","Leave party size empty",IF(K146="","Put it under a main guest","↳ Plus one of "&amp;K146)),IF(C146="","Add a party size",IF(COUNTIFS($K$4:$K$403,B146,$A$4:$A$403,"Plus one")&gt;C146-1,"More plus ones than party size",IF(AND(OR(D146="WhatsApp",D146="Both"),E146=""),"Add a phone number",IF(AND(OR(D146="Email",D146="Both"),F146=""),"Add an email",IF(AND(F146&lt;&gt;"",ISERROR(SEARCH("@",F146))),"Check the email","✓ Ready")))))))</f>
      </c>
      <c r="K146">
        <f>IF(A146="Plus one",K145,B146)</f>
      </c>
    </row>
    <row r="147" spans="1:11" x14ac:dyDescent="0.25">
      <c r="A147" s="13" t="s">
        <v>22</v>
      </c>
      <c r="B147" s="13"/>
      <c r="C147" s="14"/>
      <c r="D147" s="13"/>
      <c r="E147" s="15"/>
      <c r="F147" s="13"/>
      <c r="G147" s="13"/>
      <c r="H147" s="13"/>
      <c r="I147" s="13"/>
      <c r="J147" s="12">
        <f>IF(B147="",IF(AND(A147="Plus one",K147&lt;&gt;""),"↳ Plus one of "&amp;K147&amp;" (name TBC)",""),IF(A147="Plus one",IF(C147&lt;&gt;"","Leave party size empty",IF(K147="","Put it under a main guest","↳ Plus one of "&amp;K147)),IF(C147="","Add a party size",IF(COUNTIFS($K$4:$K$403,B147,$A$4:$A$403,"Plus one")&gt;C147-1,"More plus ones than party size",IF(AND(OR(D147="WhatsApp",D147="Both"),E147=""),"Add a phone number",IF(AND(OR(D147="Email",D147="Both"),F147=""),"Add an email",IF(AND(F147&lt;&gt;"",ISERROR(SEARCH("@",F147))),"Check the email","✓ Ready")))))))</f>
      </c>
      <c r="K147">
        <f>IF(A147="Plus one",K146,B147)</f>
      </c>
    </row>
    <row r="148" spans="1:11" x14ac:dyDescent="0.25">
      <c r="A148" s="16" t="s">
        <v>22</v>
      </c>
      <c r="B148" s="16"/>
      <c r="C148" s="17"/>
      <c r="D148" s="16"/>
      <c r="E148" s="18"/>
      <c r="F148" s="16"/>
      <c r="G148" s="16"/>
      <c r="H148" s="16"/>
      <c r="I148" s="16"/>
      <c r="J148" s="8">
        <f>IF(B148="",IF(AND(A148="Plus one",K148&lt;&gt;""),"↳ Plus one of "&amp;K148&amp;" (name TBC)",""),IF(A148="Plus one",IF(C148&lt;&gt;"","Leave party size empty",IF(K148="","Put it under a main guest","↳ Plus one of "&amp;K148)),IF(C148="","Add a party size",IF(COUNTIFS($K$4:$K$403,B148,$A$4:$A$403,"Plus one")&gt;C148-1,"More plus ones than party size",IF(AND(OR(D148="WhatsApp",D148="Both"),E148=""),"Add a phone number",IF(AND(OR(D148="Email",D148="Both"),F148=""),"Add an email",IF(AND(F148&lt;&gt;"",ISERROR(SEARCH("@",F148))),"Check the email","✓ Ready")))))))</f>
      </c>
      <c r="K148">
        <f>IF(A148="Plus one",K147,B148)</f>
      </c>
    </row>
    <row r="149" spans="1:11" x14ac:dyDescent="0.25">
      <c r="A149" s="13" t="s">
        <v>22</v>
      </c>
      <c r="B149" s="13"/>
      <c r="C149" s="14"/>
      <c r="D149" s="13"/>
      <c r="E149" s="15"/>
      <c r="F149" s="13"/>
      <c r="G149" s="13"/>
      <c r="H149" s="13"/>
      <c r="I149" s="13"/>
      <c r="J149" s="12">
        <f>IF(B149="",IF(AND(A149="Plus one",K149&lt;&gt;""),"↳ Plus one of "&amp;K149&amp;" (name TBC)",""),IF(A149="Plus one",IF(C149&lt;&gt;"","Leave party size empty",IF(K149="","Put it under a main guest","↳ Plus one of "&amp;K149)),IF(C149="","Add a party size",IF(COUNTIFS($K$4:$K$403,B149,$A$4:$A$403,"Plus one")&gt;C149-1,"More plus ones than party size",IF(AND(OR(D149="WhatsApp",D149="Both"),E149=""),"Add a phone number",IF(AND(OR(D149="Email",D149="Both"),F149=""),"Add an email",IF(AND(F149&lt;&gt;"",ISERROR(SEARCH("@",F149))),"Check the email","✓ Ready")))))))</f>
      </c>
      <c r="K149">
        <f>IF(A149="Plus one",K148,B149)</f>
      </c>
    </row>
    <row r="150" spans="1:11" x14ac:dyDescent="0.25">
      <c r="A150" s="16" t="s">
        <v>22</v>
      </c>
      <c r="B150" s="16"/>
      <c r="C150" s="17"/>
      <c r="D150" s="16"/>
      <c r="E150" s="18"/>
      <c r="F150" s="16"/>
      <c r="G150" s="16"/>
      <c r="H150" s="16"/>
      <c r="I150" s="16"/>
      <c r="J150" s="8">
        <f>IF(B150="",IF(AND(A150="Plus one",K150&lt;&gt;""),"↳ Plus one of "&amp;K150&amp;" (name TBC)",""),IF(A150="Plus one",IF(C150&lt;&gt;"","Leave party size empty",IF(K150="","Put it under a main guest","↳ Plus one of "&amp;K150)),IF(C150="","Add a party size",IF(COUNTIFS($K$4:$K$403,B150,$A$4:$A$403,"Plus one")&gt;C150-1,"More plus ones than party size",IF(AND(OR(D150="WhatsApp",D150="Both"),E150=""),"Add a phone number",IF(AND(OR(D150="Email",D150="Both"),F150=""),"Add an email",IF(AND(F150&lt;&gt;"",ISERROR(SEARCH("@",F150))),"Check the email","✓ Ready")))))))</f>
      </c>
      <c r="K150">
        <f>IF(A150="Plus one",K149,B150)</f>
      </c>
    </row>
    <row r="151" spans="1:11" x14ac:dyDescent="0.25">
      <c r="A151" s="13" t="s">
        <v>22</v>
      </c>
      <c r="B151" s="13"/>
      <c r="C151" s="14"/>
      <c r="D151" s="13"/>
      <c r="E151" s="15"/>
      <c r="F151" s="13"/>
      <c r="G151" s="13"/>
      <c r="H151" s="13"/>
      <c r="I151" s="13"/>
      <c r="J151" s="12">
        <f>IF(B151="",IF(AND(A151="Plus one",K151&lt;&gt;""),"↳ Plus one of "&amp;K151&amp;" (name TBC)",""),IF(A151="Plus one",IF(C151&lt;&gt;"","Leave party size empty",IF(K151="","Put it under a main guest","↳ Plus one of "&amp;K151)),IF(C151="","Add a party size",IF(COUNTIFS($K$4:$K$403,B151,$A$4:$A$403,"Plus one")&gt;C151-1,"More plus ones than party size",IF(AND(OR(D151="WhatsApp",D151="Both"),E151=""),"Add a phone number",IF(AND(OR(D151="Email",D151="Both"),F151=""),"Add an email",IF(AND(F151&lt;&gt;"",ISERROR(SEARCH("@",F151))),"Check the email","✓ Ready")))))))</f>
      </c>
      <c r="K151">
        <f>IF(A151="Plus one",K150,B151)</f>
      </c>
    </row>
    <row r="152" spans="1:11" x14ac:dyDescent="0.25">
      <c r="A152" s="16" t="s">
        <v>22</v>
      </c>
      <c r="B152" s="16"/>
      <c r="C152" s="17"/>
      <c r="D152" s="16"/>
      <c r="E152" s="18"/>
      <c r="F152" s="16"/>
      <c r="G152" s="16"/>
      <c r="H152" s="16"/>
      <c r="I152" s="16"/>
      <c r="J152" s="8">
        <f>IF(B152="",IF(AND(A152="Plus one",K152&lt;&gt;""),"↳ Plus one of "&amp;K152&amp;" (name TBC)",""),IF(A152="Plus one",IF(C152&lt;&gt;"","Leave party size empty",IF(K152="","Put it under a main guest","↳ Plus one of "&amp;K152)),IF(C152="","Add a party size",IF(COUNTIFS($K$4:$K$403,B152,$A$4:$A$403,"Plus one")&gt;C152-1,"More plus ones than party size",IF(AND(OR(D152="WhatsApp",D152="Both"),E152=""),"Add a phone number",IF(AND(OR(D152="Email",D152="Both"),F152=""),"Add an email",IF(AND(F152&lt;&gt;"",ISERROR(SEARCH("@",F152))),"Check the email","✓ Ready")))))))</f>
      </c>
      <c r="K152">
        <f>IF(A152="Plus one",K151,B152)</f>
      </c>
    </row>
    <row r="153" spans="1:11" x14ac:dyDescent="0.25">
      <c r="A153" s="13" t="s">
        <v>22</v>
      </c>
      <c r="B153" s="13"/>
      <c r="C153" s="14"/>
      <c r="D153" s="13"/>
      <c r="E153" s="15"/>
      <c r="F153" s="13"/>
      <c r="G153" s="13"/>
      <c r="H153" s="13"/>
      <c r="I153" s="13"/>
      <c r="J153" s="12">
        <f>IF(B153="",IF(AND(A153="Plus one",K153&lt;&gt;""),"↳ Plus one of "&amp;K153&amp;" (name TBC)",""),IF(A153="Plus one",IF(C153&lt;&gt;"","Leave party size empty",IF(K153="","Put it under a main guest","↳ Plus one of "&amp;K153)),IF(C153="","Add a party size",IF(COUNTIFS($K$4:$K$403,B153,$A$4:$A$403,"Plus one")&gt;C153-1,"More plus ones than party size",IF(AND(OR(D153="WhatsApp",D153="Both"),E153=""),"Add a phone number",IF(AND(OR(D153="Email",D153="Both"),F153=""),"Add an email",IF(AND(F153&lt;&gt;"",ISERROR(SEARCH("@",F153))),"Check the email","✓ Ready")))))))</f>
      </c>
      <c r="K153">
        <f>IF(A153="Plus one",K152,B153)</f>
      </c>
    </row>
    <row r="154" spans="1:11" x14ac:dyDescent="0.25">
      <c r="A154" s="16" t="s">
        <v>22</v>
      </c>
      <c r="B154" s="16"/>
      <c r="C154" s="17"/>
      <c r="D154" s="16"/>
      <c r="E154" s="18"/>
      <c r="F154" s="16"/>
      <c r="G154" s="16"/>
      <c r="H154" s="16"/>
      <c r="I154" s="16"/>
      <c r="J154" s="8">
        <f>IF(B154="",IF(AND(A154="Plus one",K154&lt;&gt;""),"↳ Plus one of "&amp;K154&amp;" (name TBC)",""),IF(A154="Plus one",IF(C154&lt;&gt;"","Leave party size empty",IF(K154="","Put it under a main guest","↳ Plus one of "&amp;K154)),IF(C154="","Add a party size",IF(COUNTIFS($K$4:$K$403,B154,$A$4:$A$403,"Plus one")&gt;C154-1,"More plus ones than party size",IF(AND(OR(D154="WhatsApp",D154="Both"),E154=""),"Add a phone number",IF(AND(OR(D154="Email",D154="Both"),F154=""),"Add an email",IF(AND(F154&lt;&gt;"",ISERROR(SEARCH("@",F154))),"Check the email","✓ Ready")))))))</f>
      </c>
      <c r="K154">
        <f>IF(A154="Plus one",K153,B154)</f>
      </c>
    </row>
    <row r="155" spans="1:11" x14ac:dyDescent="0.25">
      <c r="A155" s="13" t="s">
        <v>22</v>
      </c>
      <c r="B155" s="13"/>
      <c r="C155" s="14"/>
      <c r="D155" s="13"/>
      <c r="E155" s="15"/>
      <c r="F155" s="13"/>
      <c r="G155" s="13"/>
      <c r="H155" s="13"/>
      <c r="I155" s="13"/>
      <c r="J155" s="12">
        <f>IF(B155="",IF(AND(A155="Plus one",K155&lt;&gt;""),"↳ Plus one of "&amp;K155&amp;" (name TBC)",""),IF(A155="Plus one",IF(C155&lt;&gt;"","Leave party size empty",IF(K155="","Put it under a main guest","↳ Plus one of "&amp;K155)),IF(C155="","Add a party size",IF(COUNTIFS($K$4:$K$403,B155,$A$4:$A$403,"Plus one")&gt;C155-1,"More plus ones than party size",IF(AND(OR(D155="WhatsApp",D155="Both"),E155=""),"Add a phone number",IF(AND(OR(D155="Email",D155="Both"),F155=""),"Add an email",IF(AND(F155&lt;&gt;"",ISERROR(SEARCH("@",F155))),"Check the email","✓ Ready")))))))</f>
      </c>
      <c r="K155">
        <f>IF(A155="Plus one",K154,B155)</f>
      </c>
    </row>
    <row r="156" spans="1:11" x14ac:dyDescent="0.25">
      <c r="A156" s="16" t="s">
        <v>22</v>
      </c>
      <c r="B156" s="16"/>
      <c r="C156" s="17"/>
      <c r="D156" s="16"/>
      <c r="E156" s="18"/>
      <c r="F156" s="16"/>
      <c r="G156" s="16"/>
      <c r="H156" s="16"/>
      <c r="I156" s="16"/>
      <c r="J156" s="8">
        <f>IF(B156="",IF(AND(A156="Plus one",K156&lt;&gt;""),"↳ Plus one of "&amp;K156&amp;" (name TBC)",""),IF(A156="Plus one",IF(C156&lt;&gt;"","Leave party size empty",IF(K156="","Put it under a main guest","↳ Plus one of "&amp;K156)),IF(C156="","Add a party size",IF(COUNTIFS($K$4:$K$403,B156,$A$4:$A$403,"Plus one")&gt;C156-1,"More plus ones than party size",IF(AND(OR(D156="WhatsApp",D156="Both"),E156=""),"Add a phone number",IF(AND(OR(D156="Email",D156="Both"),F156=""),"Add an email",IF(AND(F156&lt;&gt;"",ISERROR(SEARCH("@",F156))),"Check the email","✓ Ready")))))))</f>
      </c>
      <c r="K156">
        <f>IF(A156="Plus one",K155,B156)</f>
      </c>
    </row>
    <row r="157" spans="1:11" x14ac:dyDescent="0.25">
      <c r="A157" s="13" t="s">
        <v>22</v>
      </c>
      <c r="B157" s="13"/>
      <c r="C157" s="14"/>
      <c r="D157" s="13"/>
      <c r="E157" s="15"/>
      <c r="F157" s="13"/>
      <c r="G157" s="13"/>
      <c r="H157" s="13"/>
      <c r="I157" s="13"/>
      <c r="J157" s="12">
        <f>IF(B157="",IF(AND(A157="Plus one",K157&lt;&gt;""),"↳ Plus one of "&amp;K157&amp;" (name TBC)",""),IF(A157="Plus one",IF(C157&lt;&gt;"","Leave party size empty",IF(K157="","Put it under a main guest","↳ Plus one of "&amp;K157)),IF(C157="","Add a party size",IF(COUNTIFS($K$4:$K$403,B157,$A$4:$A$403,"Plus one")&gt;C157-1,"More plus ones than party size",IF(AND(OR(D157="WhatsApp",D157="Both"),E157=""),"Add a phone number",IF(AND(OR(D157="Email",D157="Both"),F157=""),"Add an email",IF(AND(F157&lt;&gt;"",ISERROR(SEARCH("@",F157))),"Check the email","✓ Ready")))))))</f>
      </c>
      <c r="K157">
        <f>IF(A157="Plus one",K156,B157)</f>
      </c>
    </row>
    <row r="158" spans="1:11" x14ac:dyDescent="0.25">
      <c r="A158" s="16" t="s">
        <v>22</v>
      </c>
      <c r="B158" s="16"/>
      <c r="C158" s="17"/>
      <c r="D158" s="16"/>
      <c r="E158" s="18"/>
      <c r="F158" s="16"/>
      <c r="G158" s="16"/>
      <c r="H158" s="16"/>
      <c r="I158" s="16"/>
      <c r="J158" s="8">
        <f>IF(B158="",IF(AND(A158="Plus one",K158&lt;&gt;""),"↳ Plus one of "&amp;K158&amp;" (name TBC)",""),IF(A158="Plus one",IF(C158&lt;&gt;"","Leave party size empty",IF(K158="","Put it under a main guest","↳ Plus one of "&amp;K158)),IF(C158="","Add a party size",IF(COUNTIFS($K$4:$K$403,B158,$A$4:$A$403,"Plus one")&gt;C158-1,"More plus ones than party size",IF(AND(OR(D158="WhatsApp",D158="Both"),E158=""),"Add a phone number",IF(AND(OR(D158="Email",D158="Both"),F158=""),"Add an email",IF(AND(F158&lt;&gt;"",ISERROR(SEARCH("@",F158))),"Check the email","✓ Ready")))))))</f>
      </c>
      <c r="K158">
        <f>IF(A158="Plus one",K157,B158)</f>
      </c>
    </row>
    <row r="159" spans="1:11" x14ac:dyDescent="0.25">
      <c r="A159" s="13" t="s">
        <v>22</v>
      </c>
      <c r="B159" s="13"/>
      <c r="C159" s="14"/>
      <c r="D159" s="13"/>
      <c r="E159" s="15"/>
      <c r="F159" s="13"/>
      <c r="G159" s="13"/>
      <c r="H159" s="13"/>
      <c r="I159" s="13"/>
      <c r="J159" s="12">
        <f>IF(B159="",IF(AND(A159="Plus one",K159&lt;&gt;""),"↳ Plus one of "&amp;K159&amp;" (name TBC)",""),IF(A159="Plus one",IF(C159&lt;&gt;"","Leave party size empty",IF(K159="","Put it under a main guest","↳ Plus one of "&amp;K159)),IF(C159="","Add a party size",IF(COUNTIFS($K$4:$K$403,B159,$A$4:$A$403,"Plus one")&gt;C159-1,"More plus ones than party size",IF(AND(OR(D159="WhatsApp",D159="Both"),E159=""),"Add a phone number",IF(AND(OR(D159="Email",D159="Both"),F159=""),"Add an email",IF(AND(F159&lt;&gt;"",ISERROR(SEARCH("@",F159))),"Check the email","✓ Ready")))))))</f>
      </c>
      <c r="K159">
        <f>IF(A159="Plus one",K158,B159)</f>
      </c>
    </row>
    <row r="160" spans="1:11" x14ac:dyDescent="0.25">
      <c r="A160" s="16" t="s">
        <v>22</v>
      </c>
      <c r="B160" s="16"/>
      <c r="C160" s="17"/>
      <c r="D160" s="16"/>
      <c r="E160" s="18"/>
      <c r="F160" s="16"/>
      <c r="G160" s="16"/>
      <c r="H160" s="16"/>
      <c r="I160" s="16"/>
      <c r="J160" s="8">
        <f>IF(B160="",IF(AND(A160="Plus one",K160&lt;&gt;""),"↳ Plus one of "&amp;K160&amp;" (name TBC)",""),IF(A160="Plus one",IF(C160&lt;&gt;"","Leave party size empty",IF(K160="","Put it under a main guest","↳ Plus one of "&amp;K160)),IF(C160="","Add a party size",IF(COUNTIFS($K$4:$K$403,B160,$A$4:$A$403,"Plus one")&gt;C160-1,"More plus ones than party size",IF(AND(OR(D160="WhatsApp",D160="Both"),E160=""),"Add a phone number",IF(AND(OR(D160="Email",D160="Both"),F160=""),"Add an email",IF(AND(F160&lt;&gt;"",ISERROR(SEARCH("@",F160))),"Check the email","✓ Ready")))))))</f>
      </c>
      <c r="K160">
        <f>IF(A160="Plus one",K159,B160)</f>
      </c>
    </row>
    <row r="161" spans="1:11" x14ac:dyDescent="0.25">
      <c r="A161" s="13" t="s">
        <v>22</v>
      </c>
      <c r="B161" s="13"/>
      <c r="C161" s="14"/>
      <c r="D161" s="13"/>
      <c r="E161" s="15"/>
      <c r="F161" s="13"/>
      <c r="G161" s="13"/>
      <c r="H161" s="13"/>
      <c r="I161" s="13"/>
      <c r="J161" s="12">
        <f>IF(B161="",IF(AND(A161="Plus one",K161&lt;&gt;""),"↳ Plus one of "&amp;K161&amp;" (name TBC)",""),IF(A161="Plus one",IF(C161&lt;&gt;"","Leave party size empty",IF(K161="","Put it under a main guest","↳ Plus one of "&amp;K161)),IF(C161="","Add a party size",IF(COUNTIFS($K$4:$K$403,B161,$A$4:$A$403,"Plus one")&gt;C161-1,"More plus ones than party size",IF(AND(OR(D161="WhatsApp",D161="Both"),E161=""),"Add a phone number",IF(AND(OR(D161="Email",D161="Both"),F161=""),"Add an email",IF(AND(F161&lt;&gt;"",ISERROR(SEARCH("@",F161))),"Check the email","✓ Ready")))))))</f>
      </c>
      <c r="K161">
        <f>IF(A161="Plus one",K160,B161)</f>
      </c>
    </row>
    <row r="162" spans="1:11" x14ac:dyDescent="0.25">
      <c r="A162" s="16" t="s">
        <v>22</v>
      </c>
      <c r="B162" s="16"/>
      <c r="C162" s="17"/>
      <c r="D162" s="16"/>
      <c r="E162" s="18"/>
      <c r="F162" s="16"/>
      <c r="G162" s="16"/>
      <c r="H162" s="16"/>
      <c r="I162" s="16"/>
      <c r="J162" s="8">
        <f>IF(B162="",IF(AND(A162="Plus one",K162&lt;&gt;""),"↳ Plus one of "&amp;K162&amp;" (name TBC)",""),IF(A162="Plus one",IF(C162&lt;&gt;"","Leave party size empty",IF(K162="","Put it under a main guest","↳ Plus one of "&amp;K162)),IF(C162="","Add a party size",IF(COUNTIFS($K$4:$K$403,B162,$A$4:$A$403,"Plus one")&gt;C162-1,"More plus ones than party size",IF(AND(OR(D162="WhatsApp",D162="Both"),E162=""),"Add a phone number",IF(AND(OR(D162="Email",D162="Both"),F162=""),"Add an email",IF(AND(F162&lt;&gt;"",ISERROR(SEARCH("@",F162))),"Check the email","✓ Ready")))))))</f>
      </c>
      <c r="K162">
        <f>IF(A162="Plus one",K161,B162)</f>
      </c>
    </row>
    <row r="163" spans="1:11" x14ac:dyDescent="0.25">
      <c r="A163" s="13" t="s">
        <v>22</v>
      </c>
      <c r="B163" s="13"/>
      <c r="C163" s="14"/>
      <c r="D163" s="13"/>
      <c r="E163" s="15"/>
      <c r="F163" s="13"/>
      <c r="G163" s="13"/>
      <c r="H163" s="13"/>
      <c r="I163" s="13"/>
      <c r="J163" s="12">
        <f>IF(B163="",IF(AND(A163="Plus one",K163&lt;&gt;""),"↳ Plus one of "&amp;K163&amp;" (name TBC)",""),IF(A163="Plus one",IF(C163&lt;&gt;"","Leave party size empty",IF(K163="","Put it under a main guest","↳ Plus one of "&amp;K163)),IF(C163="","Add a party size",IF(COUNTIFS($K$4:$K$403,B163,$A$4:$A$403,"Plus one")&gt;C163-1,"More plus ones than party size",IF(AND(OR(D163="WhatsApp",D163="Both"),E163=""),"Add a phone number",IF(AND(OR(D163="Email",D163="Both"),F163=""),"Add an email",IF(AND(F163&lt;&gt;"",ISERROR(SEARCH("@",F163))),"Check the email","✓ Ready")))))))</f>
      </c>
      <c r="K163">
        <f>IF(A163="Plus one",K162,B163)</f>
      </c>
    </row>
    <row r="164" spans="1:11" x14ac:dyDescent="0.25">
      <c r="A164" s="16" t="s">
        <v>22</v>
      </c>
      <c r="B164" s="16"/>
      <c r="C164" s="17"/>
      <c r="D164" s="16"/>
      <c r="E164" s="18"/>
      <c r="F164" s="16"/>
      <c r="G164" s="16"/>
      <c r="H164" s="16"/>
      <c r="I164" s="16"/>
      <c r="J164" s="8">
        <f>IF(B164="",IF(AND(A164="Plus one",K164&lt;&gt;""),"↳ Plus one of "&amp;K164&amp;" (name TBC)",""),IF(A164="Plus one",IF(C164&lt;&gt;"","Leave party size empty",IF(K164="","Put it under a main guest","↳ Plus one of "&amp;K164)),IF(C164="","Add a party size",IF(COUNTIFS($K$4:$K$403,B164,$A$4:$A$403,"Plus one")&gt;C164-1,"More plus ones than party size",IF(AND(OR(D164="WhatsApp",D164="Both"),E164=""),"Add a phone number",IF(AND(OR(D164="Email",D164="Both"),F164=""),"Add an email",IF(AND(F164&lt;&gt;"",ISERROR(SEARCH("@",F164))),"Check the email","✓ Ready")))))))</f>
      </c>
      <c r="K164">
        <f>IF(A164="Plus one",K163,B164)</f>
      </c>
    </row>
    <row r="165" spans="1:11" x14ac:dyDescent="0.25">
      <c r="A165" s="13" t="s">
        <v>22</v>
      </c>
      <c r="B165" s="13"/>
      <c r="C165" s="14"/>
      <c r="D165" s="13"/>
      <c r="E165" s="15"/>
      <c r="F165" s="13"/>
      <c r="G165" s="13"/>
      <c r="H165" s="13"/>
      <c r="I165" s="13"/>
      <c r="J165" s="12">
        <f>IF(B165="",IF(AND(A165="Plus one",K165&lt;&gt;""),"↳ Plus one of "&amp;K165&amp;" (name TBC)",""),IF(A165="Plus one",IF(C165&lt;&gt;"","Leave party size empty",IF(K165="","Put it under a main guest","↳ Plus one of "&amp;K165)),IF(C165="","Add a party size",IF(COUNTIFS($K$4:$K$403,B165,$A$4:$A$403,"Plus one")&gt;C165-1,"More plus ones than party size",IF(AND(OR(D165="WhatsApp",D165="Both"),E165=""),"Add a phone number",IF(AND(OR(D165="Email",D165="Both"),F165=""),"Add an email",IF(AND(F165&lt;&gt;"",ISERROR(SEARCH("@",F165))),"Check the email","✓ Ready")))))))</f>
      </c>
      <c r="K165">
        <f>IF(A165="Plus one",K164,B165)</f>
      </c>
    </row>
    <row r="166" spans="1:11" x14ac:dyDescent="0.25">
      <c r="A166" s="16" t="s">
        <v>22</v>
      </c>
      <c r="B166" s="16"/>
      <c r="C166" s="17"/>
      <c r="D166" s="16"/>
      <c r="E166" s="18"/>
      <c r="F166" s="16"/>
      <c r="G166" s="16"/>
      <c r="H166" s="16"/>
      <c r="I166" s="16"/>
      <c r="J166" s="8">
        <f>IF(B166="",IF(AND(A166="Plus one",K166&lt;&gt;""),"↳ Plus one of "&amp;K166&amp;" (name TBC)",""),IF(A166="Plus one",IF(C166&lt;&gt;"","Leave party size empty",IF(K166="","Put it under a main guest","↳ Plus one of "&amp;K166)),IF(C166="","Add a party size",IF(COUNTIFS($K$4:$K$403,B166,$A$4:$A$403,"Plus one")&gt;C166-1,"More plus ones than party size",IF(AND(OR(D166="WhatsApp",D166="Both"),E166=""),"Add a phone number",IF(AND(OR(D166="Email",D166="Both"),F166=""),"Add an email",IF(AND(F166&lt;&gt;"",ISERROR(SEARCH("@",F166))),"Check the email","✓ Ready")))))))</f>
      </c>
      <c r="K166">
        <f>IF(A166="Plus one",K165,B166)</f>
      </c>
    </row>
    <row r="167" spans="1:11" x14ac:dyDescent="0.25">
      <c r="A167" s="13" t="s">
        <v>22</v>
      </c>
      <c r="B167" s="13"/>
      <c r="C167" s="14"/>
      <c r="D167" s="13"/>
      <c r="E167" s="15"/>
      <c r="F167" s="13"/>
      <c r="G167" s="13"/>
      <c r="H167" s="13"/>
      <c r="I167" s="13"/>
      <c r="J167" s="12">
        <f>IF(B167="",IF(AND(A167="Plus one",K167&lt;&gt;""),"↳ Plus one of "&amp;K167&amp;" (name TBC)",""),IF(A167="Plus one",IF(C167&lt;&gt;"","Leave party size empty",IF(K167="","Put it under a main guest","↳ Plus one of "&amp;K167)),IF(C167="","Add a party size",IF(COUNTIFS($K$4:$K$403,B167,$A$4:$A$403,"Plus one")&gt;C167-1,"More plus ones than party size",IF(AND(OR(D167="WhatsApp",D167="Both"),E167=""),"Add a phone number",IF(AND(OR(D167="Email",D167="Both"),F167=""),"Add an email",IF(AND(F167&lt;&gt;"",ISERROR(SEARCH("@",F167))),"Check the email","✓ Ready")))))))</f>
      </c>
      <c r="K167">
        <f>IF(A167="Plus one",K166,B167)</f>
      </c>
    </row>
    <row r="168" spans="1:11" x14ac:dyDescent="0.25">
      <c r="A168" s="16" t="s">
        <v>22</v>
      </c>
      <c r="B168" s="16"/>
      <c r="C168" s="17"/>
      <c r="D168" s="16"/>
      <c r="E168" s="18"/>
      <c r="F168" s="16"/>
      <c r="G168" s="16"/>
      <c r="H168" s="16"/>
      <c r="I168" s="16"/>
      <c r="J168" s="8">
        <f>IF(B168="",IF(AND(A168="Plus one",K168&lt;&gt;""),"↳ Plus one of "&amp;K168&amp;" (name TBC)",""),IF(A168="Plus one",IF(C168&lt;&gt;"","Leave party size empty",IF(K168="","Put it under a main guest","↳ Plus one of "&amp;K168)),IF(C168="","Add a party size",IF(COUNTIFS($K$4:$K$403,B168,$A$4:$A$403,"Plus one")&gt;C168-1,"More plus ones than party size",IF(AND(OR(D168="WhatsApp",D168="Both"),E168=""),"Add a phone number",IF(AND(OR(D168="Email",D168="Both"),F168=""),"Add an email",IF(AND(F168&lt;&gt;"",ISERROR(SEARCH("@",F168))),"Check the email","✓ Ready")))))))</f>
      </c>
      <c r="K168">
        <f>IF(A168="Plus one",K167,B168)</f>
      </c>
    </row>
    <row r="169" spans="1:11" x14ac:dyDescent="0.25">
      <c r="A169" s="13" t="s">
        <v>22</v>
      </c>
      <c r="B169" s="13"/>
      <c r="C169" s="14"/>
      <c r="D169" s="13"/>
      <c r="E169" s="15"/>
      <c r="F169" s="13"/>
      <c r="G169" s="13"/>
      <c r="H169" s="13"/>
      <c r="I169" s="13"/>
      <c r="J169" s="12">
        <f>IF(B169="",IF(AND(A169="Plus one",K169&lt;&gt;""),"↳ Plus one of "&amp;K169&amp;" (name TBC)",""),IF(A169="Plus one",IF(C169&lt;&gt;"","Leave party size empty",IF(K169="","Put it under a main guest","↳ Plus one of "&amp;K169)),IF(C169="","Add a party size",IF(COUNTIFS($K$4:$K$403,B169,$A$4:$A$403,"Plus one")&gt;C169-1,"More plus ones than party size",IF(AND(OR(D169="WhatsApp",D169="Both"),E169=""),"Add a phone number",IF(AND(OR(D169="Email",D169="Both"),F169=""),"Add an email",IF(AND(F169&lt;&gt;"",ISERROR(SEARCH("@",F169))),"Check the email","✓ Ready")))))))</f>
      </c>
      <c r="K169">
        <f>IF(A169="Plus one",K168,B169)</f>
      </c>
    </row>
    <row r="170" spans="1:11" x14ac:dyDescent="0.25">
      <c r="A170" s="16" t="s">
        <v>22</v>
      </c>
      <c r="B170" s="16"/>
      <c r="C170" s="17"/>
      <c r="D170" s="16"/>
      <c r="E170" s="18"/>
      <c r="F170" s="16"/>
      <c r="G170" s="16"/>
      <c r="H170" s="16"/>
      <c r="I170" s="16"/>
      <c r="J170" s="8">
        <f>IF(B170="",IF(AND(A170="Plus one",K170&lt;&gt;""),"↳ Plus one of "&amp;K170&amp;" (name TBC)",""),IF(A170="Plus one",IF(C170&lt;&gt;"","Leave party size empty",IF(K170="","Put it under a main guest","↳ Plus one of "&amp;K170)),IF(C170="","Add a party size",IF(COUNTIFS($K$4:$K$403,B170,$A$4:$A$403,"Plus one")&gt;C170-1,"More plus ones than party size",IF(AND(OR(D170="WhatsApp",D170="Both"),E170=""),"Add a phone number",IF(AND(OR(D170="Email",D170="Both"),F170=""),"Add an email",IF(AND(F170&lt;&gt;"",ISERROR(SEARCH("@",F170))),"Check the email","✓ Ready")))))))</f>
      </c>
      <c r="K170">
        <f>IF(A170="Plus one",K169,B170)</f>
      </c>
    </row>
    <row r="171" spans="1:11" x14ac:dyDescent="0.25">
      <c r="A171" s="13" t="s">
        <v>22</v>
      </c>
      <c r="B171" s="13"/>
      <c r="C171" s="14"/>
      <c r="D171" s="13"/>
      <c r="E171" s="15"/>
      <c r="F171" s="13"/>
      <c r="G171" s="13"/>
      <c r="H171" s="13"/>
      <c r="I171" s="13"/>
      <c r="J171" s="12">
        <f>IF(B171="",IF(AND(A171="Plus one",K171&lt;&gt;""),"↳ Plus one of "&amp;K171&amp;" (name TBC)",""),IF(A171="Plus one",IF(C171&lt;&gt;"","Leave party size empty",IF(K171="","Put it under a main guest","↳ Plus one of "&amp;K171)),IF(C171="","Add a party size",IF(COUNTIFS($K$4:$K$403,B171,$A$4:$A$403,"Plus one")&gt;C171-1,"More plus ones than party size",IF(AND(OR(D171="WhatsApp",D171="Both"),E171=""),"Add a phone number",IF(AND(OR(D171="Email",D171="Both"),F171=""),"Add an email",IF(AND(F171&lt;&gt;"",ISERROR(SEARCH("@",F171))),"Check the email","✓ Ready")))))))</f>
      </c>
      <c r="K171">
        <f>IF(A171="Plus one",K170,B171)</f>
      </c>
    </row>
    <row r="172" spans="1:11" x14ac:dyDescent="0.25">
      <c r="A172" s="16" t="s">
        <v>22</v>
      </c>
      <c r="B172" s="16"/>
      <c r="C172" s="17"/>
      <c r="D172" s="16"/>
      <c r="E172" s="18"/>
      <c r="F172" s="16"/>
      <c r="G172" s="16"/>
      <c r="H172" s="16"/>
      <c r="I172" s="16"/>
      <c r="J172" s="8">
        <f>IF(B172="",IF(AND(A172="Plus one",K172&lt;&gt;""),"↳ Plus one of "&amp;K172&amp;" (name TBC)",""),IF(A172="Plus one",IF(C172&lt;&gt;"","Leave party size empty",IF(K172="","Put it under a main guest","↳ Plus one of "&amp;K172)),IF(C172="","Add a party size",IF(COUNTIFS($K$4:$K$403,B172,$A$4:$A$403,"Plus one")&gt;C172-1,"More plus ones than party size",IF(AND(OR(D172="WhatsApp",D172="Both"),E172=""),"Add a phone number",IF(AND(OR(D172="Email",D172="Both"),F172=""),"Add an email",IF(AND(F172&lt;&gt;"",ISERROR(SEARCH("@",F172))),"Check the email","✓ Ready")))))))</f>
      </c>
      <c r="K172">
        <f>IF(A172="Plus one",K171,B172)</f>
      </c>
    </row>
    <row r="173" spans="1:11" x14ac:dyDescent="0.25">
      <c r="A173" s="13" t="s">
        <v>22</v>
      </c>
      <c r="B173" s="13"/>
      <c r="C173" s="14"/>
      <c r="D173" s="13"/>
      <c r="E173" s="15"/>
      <c r="F173" s="13"/>
      <c r="G173" s="13"/>
      <c r="H173" s="13"/>
      <c r="I173" s="13"/>
      <c r="J173" s="12">
        <f>IF(B173="",IF(AND(A173="Plus one",K173&lt;&gt;""),"↳ Plus one of "&amp;K173&amp;" (name TBC)",""),IF(A173="Plus one",IF(C173&lt;&gt;"","Leave party size empty",IF(K173="","Put it under a main guest","↳ Plus one of "&amp;K173)),IF(C173="","Add a party size",IF(COUNTIFS($K$4:$K$403,B173,$A$4:$A$403,"Plus one")&gt;C173-1,"More plus ones than party size",IF(AND(OR(D173="WhatsApp",D173="Both"),E173=""),"Add a phone number",IF(AND(OR(D173="Email",D173="Both"),F173=""),"Add an email",IF(AND(F173&lt;&gt;"",ISERROR(SEARCH("@",F173))),"Check the email","✓ Ready")))))))</f>
      </c>
      <c r="K173">
        <f>IF(A173="Plus one",K172,B173)</f>
      </c>
    </row>
    <row r="174" spans="1:11" x14ac:dyDescent="0.25">
      <c r="A174" s="16" t="s">
        <v>22</v>
      </c>
      <c r="B174" s="16"/>
      <c r="C174" s="17"/>
      <c r="D174" s="16"/>
      <c r="E174" s="18"/>
      <c r="F174" s="16"/>
      <c r="G174" s="16"/>
      <c r="H174" s="16"/>
      <c r="I174" s="16"/>
      <c r="J174" s="8">
        <f>IF(B174="",IF(AND(A174="Plus one",K174&lt;&gt;""),"↳ Plus one of "&amp;K174&amp;" (name TBC)",""),IF(A174="Plus one",IF(C174&lt;&gt;"","Leave party size empty",IF(K174="","Put it under a main guest","↳ Plus one of "&amp;K174)),IF(C174="","Add a party size",IF(COUNTIFS($K$4:$K$403,B174,$A$4:$A$403,"Plus one")&gt;C174-1,"More plus ones than party size",IF(AND(OR(D174="WhatsApp",D174="Both"),E174=""),"Add a phone number",IF(AND(OR(D174="Email",D174="Both"),F174=""),"Add an email",IF(AND(F174&lt;&gt;"",ISERROR(SEARCH("@",F174))),"Check the email","✓ Ready")))))))</f>
      </c>
      <c r="K174">
        <f>IF(A174="Plus one",K173,B174)</f>
      </c>
    </row>
    <row r="175" spans="1:11" x14ac:dyDescent="0.25">
      <c r="A175" s="13" t="s">
        <v>22</v>
      </c>
      <c r="B175" s="13"/>
      <c r="C175" s="14"/>
      <c r="D175" s="13"/>
      <c r="E175" s="15"/>
      <c r="F175" s="13"/>
      <c r="G175" s="13"/>
      <c r="H175" s="13"/>
      <c r="I175" s="13"/>
      <c r="J175" s="12">
        <f>IF(B175="",IF(AND(A175="Plus one",K175&lt;&gt;""),"↳ Plus one of "&amp;K175&amp;" (name TBC)",""),IF(A175="Plus one",IF(C175&lt;&gt;"","Leave party size empty",IF(K175="","Put it under a main guest","↳ Plus one of "&amp;K175)),IF(C175="","Add a party size",IF(COUNTIFS($K$4:$K$403,B175,$A$4:$A$403,"Plus one")&gt;C175-1,"More plus ones than party size",IF(AND(OR(D175="WhatsApp",D175="Both"),E175=""),"Add a phone number",IF(AND(OR(D175="Email",D175="Both"),F175=""),"Add an email",IF(AND(F175&lt;&gt;"",ISERROR(SEARCH("@",F175))),"Check the email","✓ Ready")))))))</f>
      </c>
      <c r="K175">
        <f>IF(A175="Plus one",K174,B175)</f>
      </c>
    </row>
    <row r="176" spans="1:11" x14ac:dyDescent="0.25">
      <c r="A176" s="16" t="s">
        <v>22</v>
      </c>
      <c r="B176" s="16"/>
      <c r="C176" s="17"/>
      <c r="D176" s="16"/>
      <c r="E176" s="18"/>
      <c r="F176" s="16"/>
      <c r="G176" s="16"/>
      <c r="H176" s="16"/>
      <c r="I176" s="16"/>
      <c r="J176" s="8">
        <f>IF(B176="",IF(AND(A176="Plus one",K176&lt;&gt;""),"↳ Plus one of "&amp;K176&amp;" (name TBC)",""),IF(A176="Plus one",IF(C176&lt;&gt;"","Leave party size empty",IF(K176="","Put it under a main guest","↳ Plus one of "&amp;K176)),IF(C176="","Add a party size",IF(COUNTIFS($K$4:$K$403,B176,$A$4:$A$403,"Plus one")&gt;C176-1,"More plus ones than party size",IF(AND(OR(D176="WhatsApp",D176="Both"),E176=""),"Add a phone number",IF(AND(OR(D176="Email",D176="Both"),F176=""),"Add an email",IF(AND(F176&lt;&gt;"",ISERROR(SEARCH("@",F176))),"Check the email","✓ Ready")))))))</f>
      </c>
      <c r="K176">
        <f>IF(A176="Plus one",K175,B176)</f>
      </c>
    </row>
    <row r="177" spans="1:11" x14ac:dyDescent="0.25">
      <c r="A177" s="13" t="s">
        <v>22</v>
      </c>
      <c r="B177" s="13"/>
      <c r="C177" s="14"/>
      <c r="D177" s="13"/>
      <c r="E177" s="15"/>
      <c r="F177" s="13"/>
      <c r="G177" s="13"/>
      <c r="H177" s="13"/>
      <c r="I177" s="13"/>
      <c r="J177" s="12">
        <f>IF(B177="",IF(AND(A177="Plus one",K177&lt;&gt;""),"↳ Plus one of "&amp;K177&amp;" (name TBC)",""),IF(A177="Plus one",IF(C177&lt;&gt;"","Leave party size empty",IF(K177="","Put it under a main guest","↳ Plus one of "&amp;K177)),IF(C177="","Add a party size",IF(COUNTIFS($K$4:$K$403,B177,$A$4:$A$403,"Plus one")&gt;C177-1,"More plus ones than party size",IF(AND(OR(D177="WhatsApp",D177="Both"),E177=""),"Add a phone number",IF(AND(OR(D177="Email",D177="Both"),F177=""),"Add an email",IF(AND(F177&lt;&gt;"",ISERROR(SEARCH("@",F177))),"Check the email","✓ Ready")))))))</f>
      </c>
      <c r="K177">
        <f>IF(A177="Plus one",K176,B177)</f>
      </c>
    </row>
    <row r="178" spans="1:11" x14ac:dyDescent="0.25">
      <c r="A178" s="16" t="s">
        <v>22</v>
      </c>
      <c r="B178" s="16"/>
      <c r="C178" s="17"/>
      <c r="D178" s="16"/>
      <c r="E178" s="18"/>
      <c r="F178" s="16"/>
      <c r="G178" s="16"/>
      <c r="H178" s="16"/>
      <c r="I178" s="16"/>
      <c r="J178" s="8">
        <f>IF(B178="",IF(AND(A178="Plus one",K178&lt;&gt;""),"↳ Plus one of "&amp;K178&amp;" (name TBC)",""),IF(A178="Plus one",IF(C178&lt;&gt;"","Leave party size empty",IF(K178="","Put it under a main guest","↳ Plus one of "&amp;K178)),IF(C178="","Add a party size",IF(COUNTIFS($K$4:$K$403,B178,$A$4:$A$403,"Plus one")&gt;C178-1,"More plus ones than party size",IF(AND(OR(D178="WhatsApp",D178="Both"),E178=""),"Add a phone number",IF(AND(OR(D178="Email",D178="Both"),F178=""),"Add an email",IF(AND(F178&lt;&gt;"",ISERROR(SEARCH("@",F178))),"Check the email","✓ Ready")))))))</f>
      </c>
      <c r="K178">
        <f>IF(A178="Plus one",K177,B178)</f>
      </c>
    </row>
    <row r="179" spans="1:11" x14ac:dyDescent="0.25">
      <c r="A179" s="13" t="s">
        <v>22</v>
      </c>
      <c r="B179" s="13"/>
      <c r="C179" s="14"/>
      <c r="D179" s="13"/>
      <c r="E179" s="15"/>
      <c r="F179" s="13"/>
      <c r="G179" s="13"/>
      <c r="H179" s="13"/>
      <c r="I179" s="13"/>
      <c r="J179" s="12">
        <f>IF(B179="",IF(AND(A179="Plus one",K179&lt;&gt;""),"↳ Plus one of "&amp;K179&amp;" (name TBC)",""),IF(A179="Plus one",IF(C179&lt;&gt;"","Leave party size empty",IF(K179="","Put it under a main guest","↳ Plus one of "&amp;K179)),IF(C179="","Add a party size",IF(COUNTIFS($K$4:$K$403,B179,$A$4:$A$403,"Plus one")&gt;C179-1,"More plus ones than party size",IF(AND(OR(D179="WhatsApp",D179="Both"),E179=""),"Add a phone number",IF(AND(OR(D179="Email",D179="Both"),F179=""),"Add an email",IF(AND(F179&lt;&gt;"",ISERROR(SEARCH("@",F179))),"Check the email","✓ Ready")))))))</f>
      </c>
      <c r="K179">
        <f>IF(A179="Plus one",K178,B179)</f>
      </c>
    </row>
    <row r="180" spans="1:11" x14ac:dyDescent="0.25">
      <c r="A180" s="16" t="s">
        <v>22</v>
      </c>
      <c r="B180" s="16"/>
      <c r="C180" s="17"/>
      <c r="D180" s="16"/>
      <c r="E180" s="18"/>
      <c r="F180" s="16"/>
      <c r="G180" s="16"/>
      <c r="H180" s="16"/>
      <c r="I180" s="16"/>
      <c r="J180" s="8">
        <f>IF(B180="",IF(AND(A180="Plus one",K180&lt;&gt;""),"↳ Plus one of "&amp;K180&amp;" (name TBC)",""),IF(A180="Plus one",IF(C180&lt;&gt;"","Leave party size empty",IF(K180="","Put it under a main guest","↳ Plus one of "&amp;K180)),IF(C180="","Add a party size",IF(COUNTIFS($K$4:$K$403,B180,$A$4:$A$403,"Plus one")&gt;C180-1,"More plus ones than party size",IF(AND(OR(D180="WhatsApp",D180="Both"),E180=""),"Add a phone number",IF(AND(OR(D180="Email",D180="Both"),F180=""),"Add an email",IF(AND(F180&lt;&gt;"",ISERROR(SEARCH("@",F180))),"Check the email","✓ Ready")))))))</f>
      </c>
      <c r="K180">
        <f>IF(A180="Plus one",K179,B180)</f>
      </c>
    </row>
    <row r="181" spans="1:11" x14ac:dyDescent="0.25">
      <c r="A181" s="13" t="s">
        <v>22</v>
      </c>
      <c r="B181" s="13"/>
      <c r="C181" s="14"/>
      <c r="D181" s="13"/>
      <c r="E181" s="15"/>
      <c r="F181" s="13"/>
      <c r="G181" s="13"/>
      <c r="H181" s="13"/>
      <c r="I181" s="13"/>
      <c r="J181" s="12">
        <f>IF(B181="",IF(AND(A181="Plus one",K181&lt;&gt;""),"↳ Plus one of "&amp;K181&amp;" (name TBC)",""),IF(A181="Plus one",IF(C181&lt;&gt;"","Leave party size empty",IF(K181="","Put it under a main guest","↳ Plus one of "&amp;K181)),IF(C181="","Add a party size",IF(COUNTIFS($K$4:$K$403,B181,$A$4:$A$403,"Plus one")&gt;C181-1,"More plus ones than party size",IF(AND(OR(D181="WhatsApp",D181="Both"),E181=""),"Add a phone number",IF(AND(OR(D181="Email",D181="Both"),F181=""),"Add an email",IF(AND(F181&lt;&gt;"",ISERROR(SEARCH("@",F181))),"Check the email","✓ Ready")))))))</f>
      </c>
      <c r="K181">
        <f>IF(A181="Plus one",K180,B181)</f>
      </c>
    </row>
    <row r="182" spans="1:11" x14ac:dyDescent="0.25">
      <c r="A182" s="16" t="s">
        <v>22</v>
      </c>
      <c r="B182" s="16"/>
      <c r="C182" s="17"/>
      <c r="D182" s="16"/>
      <c r="E182" s="18"/>
      <c r="F182" s="16"/>
      <c r="G182" s="16"/>
      <c r="H182" s="16"/>
      <c r="I182" s="16"/>
      <c r="J182" s="8">
        <f>IF(B182="",IF(AND(A182="Plus one",K182&lt;&gt;""),"↳ Plus one of "&amp;K182&amp;" (name TBC)",""),IF(A182="Plus one",IF(C182&lt;&gt;"","Leave party size empty",IF(K182="","Put it under a main guest","↳ Plus one of "&amp;K182)),IF(C182="","Add a party size",IF(COUNTIFS($K$4:$K$403,B182,$A$4:$A$403,"Plus one")&gt;C182-1,"More plus ones than party size",IF(AND(OR(D182="WhatsApp",D182="Both"),E182=""),"Add a phone number",IF(AND(OR(D182="Email",D182="Both"),F182=""),"Add an email",IF(AND(F182&lt;&gt;"",ISERROR(SEARCH("@",F182))),"Check the email","✓ Ready")))))))</f>
      </c>
      <c r="K182">
        <f>IF(A182="Plus one",K181,B182)</f>
      </c>
    </row>
    <row r="183" spans="1:11" x14ac:dyDescent="0.25">
      <c r="A183" s="13" t="s">
        <v>22</v>
      </c>
      <c r="B183" s="13"/>
      <c r="C183" s="14"/>
      <c r="D183" s="13"/>
      <c r="E183" s="15"/>
      <c r="F183" s="13"/>
      <c r="G183" s="13"/>
      <c r="H183" s="13"/>
      <c r="I183" s="13"/>
      <c r="J183" s="12">
        <f>IF(B183="",IF(AND(A183="Plus one",K183&lt;&gt;""),"↳ Plus one of "&amp;K183&amp;" (name TBC)",""),IF(A183="Plus one",IF(C183&lt;&gt;"","Leave party size empty",IF(K183="","Put it under a main guest","↳ Plus one of "&amp;K183)),IF(C183="","Add a party size",IF(COUNTIFS($K$4:$K$403,B183,$A$4:$A$403,"Plus one")&gt;C183-1,"More plus ones than party size",IF(AND(OR(D183="WhatsApp",D183="Both"),E183=""),"Add a phone number",IF(AND(OR(D183="Email",D183="Both"),F183=""),"Add an email",IF(AND(F183&lt;&gt;"",ISERROR(SEARCH("@",F183))),"Check the email","✓ Ready")))))))</f>
      </c>
      <c r="K183">
        <f>IF(A183="Plus one",K182,B183)</f>
      </c>
    </row>
    <row r="184" spans="1:11" x14ac:dyDescent="0.25">
      <c r="A184" s="16" t="s">
        <v>22</v>
      </c>
      <c r="B184" s="16"/>
      <c r="C184" s="17"/>
      <c r="D184" s="16"/>
      <c r="E184" s="18"/>
      <c r="F184" s="16"/>
      <c r="G184" s="16"/>
      <c r="H184" s="16"/>
      <c r="I184" s="16"/>
      <c r="J184" s="8">
        <f>IF(B184="",IF(AND(A184="Plus one",K184&lt;&gt;""),"↳ Plus one of "&amp;K184&amp;" (name TBC)",""),IF(A184="Plus one",IF(C184&lt;&gt;"","Leave party size empty",IF(K184="","Put it under a main guest","↳ Plus one of "&amp;K184)),IF(C184="","Add a party size",IF(COUNTIFS($K$4:$K$403,B184,$A$4:$A$403,"Plus one")&gt;C184-1,"More plus ones than party size",IF(AND(OR(D184="WhatsApp",D184="Both"),E184=""),"Add a phone number",IF(AND(OR(D184="Email",D184="Both"),F184=""),"Add an email",IF(AND(F184&lt;&gt;"",ISERROR(SEARCH("@",F184))),"Check the email","✓ Ready")))))))</f>
      </c>
      <c r="K184">
        <f>IF(A184="Plus one",K183,B184)</f>
      </c>
    </row>
    <row r="185" spans="1:11" x14ac:dyDescent="0.25">
      <c r="A185" s="13" t="s">
        <v>22</v>
      </c>
      <c r="B185" s="13"/>
      <c r="C185" s="14"/>
      <c r="D185" s="13"/>
      <c r="E185" s="15"/>
      <c r="F185" s="13"/>
      <c r="G185" s="13"/>
      <c r="H185" s="13"/>
      <c r="I185" s="13"/>
      <c r="J185" s="12">
        <f>IF(B185="",IF(AND(A185="Plus one",K185&lt;&gt;""),"↳ Plus one of "&amp;K185&amp;" (name TBC)",""),IF(A185="Plus one",IF(C185&lt;&gt;"","Leave party size empty",IF(K185="","Put it under a main guest","↳ Plus one of "&amp;K185)),IF(C185="","Add a party size",IF(COUNTIFS($K$4:$K$403,B185,$A$4:$A$403,"Plus one")&gt;C185-1,"More plus ones than party size",IF(AND(OR(D185="WhatsApp",D185="Both"),E185=""),"Add a phone number",IF(AND(OR(D185="Email",D185="Both"),F185=""),"Add an email",IF(AND(F185&lt;&gt;"",ISERROR(SEARCH("@",F185))),"Check the email","✓ Ready")))))))</f>
      </c>
      <c r="K185">
        <f>IF(A185="Plus one",K184,B185)</f>
      </c>
    </row>
    <row r="186" spans="1:11" x14ac:dyDescent="0.25">
      <c r="A186" s="16" t="s">
        <v>22</v>
      </c>
      <c r="B186" s="16"/>
      <c r="C186" s="17"/>
      <c r="D186" s="16"/>
      <c r="E186" s="18"/>
      <c r="F186" s="16"/>
      <c r="G186" s="16"/>
      <c r="H186" s="16"/>
      <c r="I186" s="16"/>
      <c r="J186" s="8">
        <f>IF(B186="",IF(AND(A186="Plus one",K186&lt;&gt;""),"↳ Plus one of "&amp;K186&amp;" (name TBC)",""),IF(A186="Plus one",IF(C186&lt;&gt;"","Leave party size empty",IF(K186="","Put it under a main guest","↳ Plus one of "&amp;K186)),IF(C186="","Add a party size",IF(COUNTIFS($K$4:$K$403,B186,$A$4:$A$403,"Plus one")&gt;C186-1,"More plus ones than party size",IF(AND(OR(D186="WhatsApp",D186="Both"),E186=""),"Add a phone number",IF(AND(OR(D186="Email",D186="Both"),F186=""),"Add an email",IF(AND(F186&lt;&gt;"",ISERROR(SEARCH("@",F186))),"Check the email","✓ Ready")))))))</f>
      </c>
      <c r="K186">
        <f>IF(A186="Plus one",K185,B186)</f>
      </c>
    </row>
    <row r="187" spans="1:11" x14ac:dyDescent="0.25">
      <c r="A187" s="13" t="s">
        <v>22</v>
      </c>
      <c r="B187" s="13"/>
      <c r="C187" s="14"/>
      <c r="D187" s="13"/>
      <c r="E187" s="15"/>
      <c r="F187" s="13"/>
      <c r="G187" s="13"/>
      <c r="H187" s="13"/>
      <c r="I187" s="13"/>
      <c r="J187" s="12">
        <f>IF(B187="",IF(AND(A187="Plus one",K187&lt;&gt;""),"↳ Plus one of "&amp;K187&amp;" (name TBC)",""),IF(A187="Plus one",IF(C187&lt;&gt;"","Leave party size empty",IF(K187="","Put it under a main guest","↳ Plus one of "&amp;K187)),IF(C187="","Add a party size",IF(COUNTIFS($K$4:$K$403,B187,$A$4:$A$403,"Plus one")&gt;C187-1,"More plus ones than party size",IF(AND(OR(D187="WhatsApp",D187="Both"),E187=""),"Add a phone number",IF(AND(OR(D187="Email",D187="Both"),F187=""),"Add an email",IF(AND(F187&lt;&gt;"",ISERROR(SEARCH("@",F187))),"Check the email","✓ Ready")))))))</f>
      </c>
      <c r="K187">
        <f>IF(A187="Plus one",K186,B187)</f>
      </c>
    </row>
    <row r="188" spans="1:11" x14ac:dyDescent="0.25">
      <c r="A188" s="16" t="s">
        <v>22</v>
      </c>
      <c r="B188" s="16"/>
      <c r="C188" s="17"/>
      <c r="D188" s="16"/>
      <c r="E188" s="18"/>
      <c r="F188" s="16"/>
      <c r="G188" s="16"/>
      <c r="H188" s="16"/>
      <c r="I188" s="16"/>
      <c r="J188" s="8">
        <f>IF(B188="",IF(AND(A188="Plus one",K188&lt;&gt;""),"↳ Plus one of "&amp;K188&amp;" (name TBC)",""),IF(A188="Plus one",IF(C188&lt;&gt;"","Leave party size empty",IF(K188="","Put it under a main guest","↳ Plus one of "&amp;K188)),IF(C188="","Add a party size",IF(COUNTIFS($K$4:$K$403,B188,$A$4:$A$403,"Plus one")&gt;C188-1,"More plus ones than party size",IF(AND(OR(D188="WhatsApp",D188="Both"),E188=""),"Add a phone number",IF(AND(OR(D188="Email",D188="Both"),F188=""),"Add an email",IF(AND(F188&lt;&gt;"",ISERROR(SEARCH("@",F188))),"Check the email","✓ Ready")))))))</f>
      </c>
      <c r="K188">
        <f>IF(A188="Plus one",K187,B188)</f>
      </c>
    </row>
    <row r="189" spans="1:11" x14ac:dyDescent="0.25">
      <c r="A189" s="13" t="s">
        <v>22</v>
      </c>
      <c r="B189" s="13"/>
      <c r="C189" s="14"/>
      <c r="D189" s="13"/>
      <c r="E189" s="15"/>
      <c r="F189" s="13"/>
      <c r="G189" s="13"/>
      <c r="H189" s="13"/>
      <c r="I189" s="13"/>
      <c r="J189" s="12">
        <f>IF(B189="",IF(AND(A189="Plus one",K189&lt;&gt;""),"↳ Plus one of "&amp;K189&amp;" (name TBC)",""),IF(A189="Plus one",IF(C189&lt;&gt;"","Leave party size empty",IF(K189="","Put it under a main guest","↳ Plus one of "&amp;K189)),IF(C189="","Add a party size",IF(COUNTIFS($K$4:$K$403,B189,$A$4:$A$403,"Plus one")&gt;C189-1,"More plus ones than party size",IF(AND(OR(D189="WhatsApp",D189="Both"),E189=""),"Add a phone number",IF(AND(OR(D189="Email",D189="Both"),F189=""),"Add an email",IF(AND(F189&lt;&gt;"",ISERROR(SEARCH("@",F189))),"Check the email","✓ Ready")))))))</f>
      </c>
      <c r="K189">
        <f>IF(A189="Plus one",K188,B189)</f>
      </c>
    </row>
    <row r="190" spans="1:11" x14ac:dyDescent="0.25">
      <c r="A190" s="16" t="s">
        <v>22</v>
      </c>
      <c r="B190" s="16"/>
      <c r="C190" s="17"/>
      <c r="D190" s="16"/>
      <c r="E190" s="18"/>
      <c r="F190" s="16"/>
      <c r="G190" s="16"/>
      <c r="H190" s="16"/>
      <c r="I190" s="16"/>
      <c r="J190" s="8">
        <f>IF(B190="",IF(AND(A190="Plus one",K190&lt;&gt;""),"↳ Plus one of "&amp;K190&amp;" (name TBC)",""),IF(A190="Plus one",IF(C190&lt;&gt;"","Leave party size empty",IF(K190="","Put it under a main guest","↳ Plus one of "&amp;K190)),IF(C190="","Add a party size",IF(COUNTIFS($K$4:$K$403,B190,$A$4:$A$403,"Plus one")&gt;C190-1,"More plus ones than party size",IF(AND(OR(D190="WhatsApp",D190="Both"),E190=""),"Add a phone number",IF(AND(OR(D190="Email",D190="Both"),F190=""),"Add an email",IF(AND(F190&lt;&gt;"",ISERROR(SEARCH("@",F190))),"Check the email","✓ Ready")))))))</f>
      </c>
      <c r="K190">
        <f>IF(A190="Plus one",K189,B190)</f>
      </c>
    </row>
    <row r="191" spans="1:11" x14ac:dyDescent="0.25">
      <c r="A191" s="13" t="s">
        <v>22</v>
      </c>
      <c r="B191" s="13"/>
      <c r="C191" s="14"/>
      <c r="D191" s="13"/>
      <c r="E191" s="15"/>
      <c r="F191" s="13"/>
      <c r="G191" s="13"/>
      <c r="H191" s="13"/>
      <c r="I191" s="13"/>
      <c r="J191" s="12">
        <f>IF(B191="",IF(AND(A191="Plus one",K191&lt;&gt;""),"↳ Plus one of "&amp;K191&amp;" (name TBC)",""),IF(A191="Plus one",IF(C191&lt;&gt;"","Leave party size empty",IF(K191="","Put it under a main guest","↳ Plus one of "&amp;K191)),IF(C191="","Add a party size",IF(COUNTIFS($K$4:$K$403,B191,$A$4:$A$403,"Plus one")&gt;C191-1,"More plus ones than party size",IF(AND(OR(D191="WhatsApp",D191="Both"),E191=""),"Add a phone number",IF(AND(OR(D191="Email",D191="Both"),F191=""),"Add an email",IF(AND(F191&lt;&gt;"",ISERROR(SEARCH("@",F191))),"Check the email","✓ Ready")))))))</f>
      </c>
      <c r="K191">
        <f>IF(A191="Plus one",K190,B191)</f>
      </c>
    </row>
    <row r="192" spans="1:11" x14ac:dyDescent="0.25">
      <c r="A192" s="16" t="s">
        <v>22</v>
      </c>
      <c r="B192" s="16"/>
      <c r="C192" s="17"/>
      <c r="D192" s="16"/>
      <c r="E192" s="18"/>
      <c r="F192" s="16"/>
      <c r="G192" s="16"/>
      <c r="H192" s="16"/>
      <c r="I192" s="16"/>
      <c r="J192" s="8">
        <f>IF(B192="",IF(AND(A192="Plus one",K192&lt;&gt;""),"↳ Plus one of "&amp;K192&amp;" (name TBC)",""),IF(A192="Plus one",IF(C192&lt;&gt;"","Leave party size empty",IF(K192="","Put it under a main guest","↳ Plus one of "&amp;K192)),IF(C192="","Add a party size",IF(COUNTIFS($K$4:$K$403,B192,$A$4:$A$403,"Plus one")&gt;C192-1,"More plus ones than party size",IF(AND(OR(D192="WhatsApp",D192="Both"),E192=""),"Add a phone number",IF(AND(OR(D192="Email",D192="Both"),F192=""),"Add an email",IF(AND(F192&lt;&gt;"",ISERROR(SEARCH("@",F192))),"Check the email","✓ Ready")))))))</f>
      </c>
      <c r="K192">
        <f>IF(A192="Plus one",K191,B192)</f>
      </c>
    </row>
    <row r="193" spans="1:11" x14ac:dyDescent="0.25">
      <c r="A193" s="13" t="s">
        <v>22</v>
      </c>
      <c r="B193" s="13"/>
      <c r="C193" s="14"/>
      <c r="D193" s="13"/>
      <c r="E193" s="15"/>
      <c r="F193" s="13"/>
      <c r="G193" s="13"/>
      <c r="H193" s="13"/>
      <c r="I193" s="13"/>
      <c r="J193" s="12">
        <f>IF(B193="",IF(AND(A193="Plus one",K193&lt;&gt;""),"↳ Plus one of "&amp;K193&amp;" (name TBC)",""),IF(A193="Plus one",IF(C193&lt;&gt;"","Leave party size empty",IF(K193="","Put it under a main guest","↳ Plus one of "&amp;K193)),IF(C193="","Add a party size",IF(COUNTIFS($K$4:$K$403,B193,$A$4:$A$403,"Plus one")&gt;C193-1,"More plus ones than party size",IF(AND(OR(D193="WhatsApp",D193="Both"),E193=""),"Add a phone number",IF(AND(OR(D193="Email",D193="Both"),F193=""),"Add an email",IF(AND(F193&lt;&gt;"",ISERROR(SEARCH("@",F193))),"Check the email","✓ Ready")))))))</f>
      </c>
      <c r="K193">
        <f>IF(A193="Plus one",K192,B193)</f>
      </c>
    </row>
    <row r="194" spans="1:11" x14ac:dyDescent="0.25">
      <c r="A194" s="16" t="s">
        <v>22</v>
      </c>
      <c r="B194" s="16"/>
      <c r="C194" s="17"/>
      <c r="D194" s="16"/>
      <c r="E194" s="18"/>
      <c r="F194" s="16"/>
      <c r="G194" s="16"/>
      <c r="H194" s="16"/>
      <c r="I194" s="16"/>
      <c r="J194" s="8">
        <f>IF(B194="",IF(AND(A194="Plus one",K194&lt;&gt;""),"↳ Plus one of "&amp;K194&amp;" (name TBC)",""),IF(A194="Plus one",IF(C194&lt;&gt;"","Leave party size empty",IF(K194="","Put it under a main guest","↳ Plus one of "&amp;K194)),IF(C194="","Add a party size",IF(COUNTIFS($K$4:$K$403,B194,$A$4:$A$403,"Plus one")&gt;C194-1,"More plus ones than party size",IF(AND(OR(D194="WhatsApp",D194="Both"),E194=""),"Add a phone number",IF(AND(OR(D194="Email",D194="Both"),F194=""),"Add an email",IF(AND(F194&lt;&gt;"",ISERROR(SEARCH("@",F194))),"Check the email","✓ Ready")))))))</f>
      </c>
      <c r="K194">
        <f>IF(A194="Plus one",K193,B194)</f>
      </c>
    </row>
    <row r="195" spans="1:11" x14ac:dyDescent="0.25">
      <c r="A195" s="13" t="s">
        <v>22</v>
      </c>
      <c r="B195" s="13"/>
      <c r="C195" s="14"/>
      <c r="D195" s="13"/>
      <c r="E195" s="15"/>
      <c r="F195" s="13"/>
      <c r="G195" s="13"/>
      <c r="H195" s="13"/>
      <c r="I195" s="13"/>
      <c r="J195" s="12">
        <f>IF(B195="",IF(AND(A195="Plus one",K195&lt;&gt;""),"↳ Plus one of "&amp;K195&amp;" (name TBC)",""),IF(A195="Plus one",IF(C195&lt;&gt;"","Leave party size empty",IF(K195="","Put it under a main guest","↳ Plus one of "&amp;K195)),IF(C195="","Add a party size",IF(COUNTIFS($K$4:$K$403,B195,$A$4:$A$403,"Plus one")&gt;C195-1,"More plus ones than party size",IF(AND(OR(D195="WhatsApp",D195="Both"),E195=""),"Add a phone number",IF(AND(OR(D195="Email",D195="Both"),F195=""),"Add an email",IF(AND(F195&lt;&gt;"",ISERROR(SEARCH("@",F195))),"Check the email","✓ Ready")))))))</f>
      </c>
      <c r="K195">
        <f>IF(A195="Plus one",K194,B195)</f>
      </c>
    </row>
    <row r="196" spans="1:11" x14ac:dyDescent="0.25">
      <c r="A196" s="16" t="s">
        <v>22</v>
      </c>
      <c r="B196" s="16"/>
      <c r="C196" s="17"/>
      <c r="D196" s="16"/>
      <c r="E196" s="18"/>
      <c r="F196" s="16"/>
      <c r="G196" s="16"/>
      <c r="H196" s="16"/>
      <c r="I196" s="16"/>
      <c r="J196" s="8">
        <f>IF(B196="",IF(AND(A196="Plus one",K196&lt;&gt;""),"↳ Plus one of "&amp;K196&amp;" (name TBC)",""),IF(A196="Plus one",IF(C196&lt;&gt;"","Leave party size empty",IF(K196="","Put it under a main guest","↳ Plus one of "&amp;K196)),IF(C196="","Add a party size",IF(COUNTIFS($K$4:$K$403,B196,$A$4:$A$403,"Plus one")&gt;C196-1,"More plus ones than party size",IF(AND(OR(D196="WhatsApp",D196="Both"),E196=""),"Add a phone number",IF(AND(OR(D196="Email",D196="Both"),F196=""),"Add an email",IF(AND(F196&lt;&gt;"",ISERROR(SEARCH("@",F196))),"Check the email","✓ Ready")))))))</f>
      </c>
      <c r="K196">
        <f>IF(A196="Plus one",K195,B196)</f>
      </c>
    </row>
    <row r="197" spans="1:11" x14ac:dyDescent="0.25">
      <c r="A197" s="13" t="s">
        <v>22</v>
      </c>
      <c r="B197" s="13"/>
      <c r="C197" s="14"/>
      <c r="D197" s="13"/>
      <c r="E197" s="15"/>
      <c r="F197" s="13"/>
      <c r="G197" s="13"/>
      <c r="H197" s="13"/>
      <c r="I197" s="13"/>
      <c r="J197" s="12">
        <f>IF(B197="",IF(AND(A197="Plus one",K197&lt;&gt;""),"↳ Plus one of "&amp;K197&amp;" (name TBC)",""),IF(A197="Plus one",IF(C197&lt;&gt;"","Leave party size empty",IF(K197="","Put it under a main guest","↳ Plus one of "&amp;K197)),IF(C197="","Add a party size",IF(COUNTIFS($K$4:$K$403,B197,$A$4:$A$403,"Plus one")&gt;C197-1,"More plus ones than party size",IF(AND(OR(D197="WhatsApp",D197="Both"),E197=""),"Add a phone number",IF(AND(OR(D197="Email",D197="Both"),F197=""),"Add an email",IF(AND(F197&lt;&gt;"",ISERROR(SEARCH("@",F197))),"Check the email","✓ Ready")))))))</f>
      </c>
      <c r="K197">
        <f>IF(A197="Plus one",K196,B197)</f>
      </c>
    </row>
    <row r="198" spans="1:11" x14ac:dyDescent="0.25">
      <c r="A198" s="16" t="s">
        <v>22</v>
      </c>
      <c r="B198" s="16"/>
      <c r="C198" s="17"/>
      <c r="D198" s="16"/>
      <c r="E198" s="18"/>
      <c r="F198" s="16"/>
      <c r="G198" s="16"/>
      <c r="H198" s="16"/>
      <c r="I198" s="16"/>
      <c r="J198" s="8">
        <f>IF(B198="",IF(AND(A198="Plus one",K198&lt;&gt;""),"↳ Plus one of "&amp;K198&amp;" (name TBC)",""),IF(A198="Plus one",IF(C198&lt;&gt;"","Leave party size empty",IF(K198="","Put it under a main guest","↳ Plus one of "&amp;K198)),IF(C198="","Add a party size",IF(COUNTIFS($K$4:$K$403,B198,$A$4:$A$403,"Plus one")&gt;C198-1,"More plus ones than party size",IF(AND(OR(D198="WhatsApp",D198="Both"),E198=""),"Add a phone number",IF(AND(OR(D198="Email",D198="Both"),F198=""),"Add an email",IF(AND(F198&lt;&gt;"",ISERROR(SEARCH("@",F198))),"Check the email","✓ Ready")))))))</f>
      </c>
      <c r="K198">
        <f>IF(A198="Plus one",K197,B198)</f>
      </c>
    </row>
    <row r="199" spans="1:11" x14ac:dyDescent="0.25">
      <c r="A199" s="13" t="s">
        <v>22</v>
      </c>
      <c r="B199" s="13"/>
      <c r="C199" s="14"/>
      <c r="D199" s="13"/>
      <c r="E199" s="15"/>
      <c r="F199" s="13"/>
      <c r="G199" s="13"/>
      <c r="H199" s="13"/>
      <c r="I199" s="13"/>
      <c r="J199" s="12">
        <f>IF(B199="",IF(AND(A199="Plus one",K199&lt;&gt;""),"↳ Plus one of "&amp;K199&amp;" (name TBC)",""),IF(A199="Plus one",IF(C199&lt;&gt;"","Leave party size empty",IF(K199="","Put it under a main guest","↳ Plus one of "&amp;K199)),IF(C199="","Add a party size",IF(COUNTIFS($K$4:$K$403,B199,$A$4:$A$403,"Plus one")&gt;C199-1,"More plus ones than party size",IF(AND(OR(D199="WhatsApp",D199="Both"),E199=""),"Add a phone number",IF(AND(OR(D199="Email",D199="Both"),F199=""),"Add an email",IF(AND(F199&lt;&gt;"",ISERROR(SEARCH("@",F199))),"Check the email","✓ Ready")))))))</f>
      </c>
      <c r="K199">
        <f>IF(A199="Plus one",K198,B199)</f>
      </c>
    </row>
    <row r="200" spans="1:11" x14ac:dyDescent="0.25">
      <c r="A200" s="16" t="s">
        <v>22</v>
      </c>
      <c r="B200" s="16"/>
      <c r="C200" s="17"/>
      <c r="D200" s="16"/>
      <c r="E200" s="18"/>
      <c r="F200" s="16"/>
      <c r="G200" s="16"/>
      <c r="H200" s="16"/>
      <c r="I200" s="16"/>
      <c r="J200" s="8">
        <f>IF(B200="",IF(AND(A200="Plus one",K200&lt;&gt;""),"↳ Plus one of "&amp;K200&amp;" (name TBC)",""),IF(A200="Plus one",IF(C200&lt;&gt;"","Leave party size empty",IF(K200="","Put it under a main guest","↳ Plus one of "&amp;K200)),IF(C200="","Add a party size",IF(COUNTIFS($K$4:$K$403,B200,$A$4:$A$403,"Plus one")&gt;C200-1,"More plus ones than party size",IF(AND(OR(D200="WhatsApp",D200="Both"),E200=""),"Add a phone number",IF(AND(OR(D200="Email",D200="Both"),F200=""),"Add an email",IF(AND(F200&lt;&gt;"",ISERROR(SEARCH("@",F200))),"Check the email","✓ Ready")))))))</f>
      </c>
      <c r="K200">
        <f>IF(A200="Plus one",K199,B200)</f>
      </c>
    </row>
    <row r="201" spans="1:11" x14ac:dyDescent="0.25">
      <c r="A201" s="13" t="s">
        <v>22</v>
      </c>
      <c r="B201" s="13"/>
      <c r="C201" s="14"/>
      <c r="D201" s="13"/>
      <c r="E201" s="15"/>
      <c r="F201" s="13"/>
      <c r="G201" s="13"/>
      <c r="H201" s="13"/>
      <c r="I201" s="13"/>
      <c r="J201" s="12">
        <f>IF(B201="",IF(AND(A201="Plus one",K201&lt;&gt;""),"↳ Plus one of "&amp;K201&amp;" (name TBC)",""),IF(A201="Plus one",IF(C201&lt;&gt;"","Leave party size empty",IF(K201="","Put it under a main guest","↳ Plus one of "&amp;K201)),IF(C201="","Add a party size",IF(COUNTIFS($K$4:$K$403,B201,$A$4:$A$403,"Plus one")&gt;C201-1,"More plus ones than party size",IF(AND(OR(D201="WhatsApp",D201="Both"),E201=""),"Add a phone number",IF(AND(OR(D201="Email",D201="Both"),F201=""),"Add an email",IF(AND(F201&lt;&gt;"",ISERROR(SEARCH("@",F201))),"Check the email","✓ Ready")))))))</f>
      </c>
      <c r="K201">
        <f>IF(A201="Plus one",K200,B201)</f>
      </c>
    </row>
    <row r="202" spans="1:11" x14ac:dyDescent="0.25">
      <c r="A202" s="16" t="s">
        <v>22</v>
      </c>
      <c r="B202" s="16"/>
      <c r="C202" s="17"/>
      <c r="D202" s="16"/>
      <c r="E202" s="18"/>
      <c r="F202" s="16"/>
      <c r="G202" s="16"/>
      <c r="H202" s="16"/>
      <c r="I202" s="16"/>
      <c r="J202" s="8">
        <f>IF(B202="",IF(AND(A202="Plus one",K202&lt;&gt;""),"↳ Plus one of "&amp;K202&amp;" (name TBC)",""),IF(A202="Plus one",IF(C202&lt;&gt;"","Leave party size empty",IF(K202="","Put it under a main guest","↳ Plus one of "&amp;K202)),IF(C202="","Add a party size",IF(COUNTIFS($K$4:$K$403,B202,$A$4:$A$403,"Plus one")&gt;C202-1,"More plus ones than party size",IF(AND(OR(D202="WhatsApp",D202="Both"),E202=""),"Add a phone number",IF(AND(OR(D202="Email",D202="Both"),F202=""),"Add an email",IF(AND(F202&lt;&gt;"",ISERROR(SEARCH("@",F202))),"Check the email","✓ Ready")))))))</f>
      </c>
      <c r="K202">
        <f>IF(A202="Plus one",K201,B202)</f>
      </c>
    </row>
    <row r="203" spans="1:11" x14ac:dyDescent="0.25">
      <c r="A203" s="13" t="s">
        <v>22</v>
      </c>
      <c r="B203" s="13"/>
      <c r="C203" s="14"/>
      <c r="D203" s="13"/>
      <c r="E203" s="15"/>
      <c r="F203" s="13"/>
      <c r="G203" s="13"/>
      <c r="H203" s="13"/>
      <c r="I203" s="13"/>
      <c r="J203" s="12">
        <f>IF(B203="",IF(AND(A203="Plus one",K203&lt;&gt;""),"↳ Plus one of "&amp;K203&amp;" (name TBC)",""),IF(A203="Plus one",IF(C203&lt;&gt;"","Leave party size empty",IF(K203="","Put it under a main guest","↳ Plus one of "&amp;K203)),IF(C203="","Add a party size",IF(COUNTIFS($K$4:$K$403,B203,$A$4:$A$403,"Plus one")&gt;C203-1,"More plus ones than party size",IF(AND(OR(D203="WhatsApp",D203="Both"),E203=""),"Add a phone number",IF(AND(OR(D203="Email",D203="Both"),F203=""),"Add an email",IF(AND(F203&lt;&gt;"",ISERROR(SEARCH("@",F203))),"Check the email","✓ Ready")))))))</f>
      </c>
      <c r="K203">
        <f>IF(A203="Plus one",K202,B203)</f>
      </c>
    </row>
    <row r="204" spans="1:11" x14ac:dyDescent="0.25">
      <c r="A204" s="16" t="s">
        <v>22</v>
      </c>
      <c r="B204" s="16"/>
      <c r="C204" s="17"/>
      <c r="D204" s="16"/>
      <c r="E204" s="18"/>
      <c r="F204" s="16"/>
      <c r="G204" s="16"/>
      <c r="H204" s="16"/>
      <c r="I204" s="16"/>
      <c r="J204" s="8">
        <f>IF(B204="",IF(AND(A204="Plus one",K204&lt;&gt;""),"↳ Plus one of "&amp;K204&amp;" (name TBC)",""),IF(A204="Plus one",IF(C204&lt;&gt;"","Leave party size empty",IF(K204="","Put it under a main guest","↳ Plus one of "&amp;K204)),IF(C204="","Add a party size",IF(COUNTIFS($K$4:$K$403,B204,$A$4:$A$403,"Plus one")&gt;C204-1,"More plus ones than party size",IF(AND(OR(D204="WhatsApp",D204="Both"),E204=""),"Add a phone number",IF(AND(OR(D204="Email",D204="Both"),F204=""),"Add an email",IF(AND(F204&lt;&gt;"",ISERROR(SEARCH("@",F204))),"Check the email","✓ Ready")))))))</f>
      </c>
      <c r="K204">
        <f>IF(A204="Plus one",K203,B204)</f>
      </c>
    </row>
    <row r="205" spans="1:11" x14ac:dyDescent="0.25">
      <c r="A205" s="13" t="s">
        <v>22</v>
      </c>
      <c r="B205" s="13"/>
      <c r="C205" s="14"/>
      <c r="D205" s="13"/>
      <c r="E205" s="15"/>
      <c r="F205" s="13"/>
      <c r="G205" s="13"/>
      <c r="H205" s="13"/>
      <c r="I205" s="13"/>
      <c r="J205" s="12">
        <f>IF(B205="",IF(AND(A205="Plus one",K205&lt;&gt;""),"↳ Plus one of "&amp;K205&amp;" (name TBC)",""),IF(A205="Plus one",IF(C205&lt;&gt;"","Leave party size empty",IF(K205="","Put it under a main guest","↳ Plus one of "&amp;K205)),IF(C205="","Add a party size",IF(COUNTIFS($K$4:$K$403,B205,$A$4:$A$403,"Plus one")&gt;C205-1,"More plus ones than party size",IF(AND(OR(D205="WhatsApp",D205="Both"),E205=""),"Add a phone number",IF(AND(OR(D205="Email",D205="Both"),F205=""),"Add an email",IF(AND(F205&lt;&gt;"",ISERROR(SEARCH("@",F205))),"Check the email","✓ Ready")))))))</f>
      </c>
      <c r="K205">
        <f>IF(A205="Plus one",K204,B205)</f>
      </c>
    </row>
    <row r="206" spans="1:11" x14ac:dyDescent="0.25">
      <c r="A206" s="16" t="s">
        <v>22</v>
      </c>
      <c r="B206" s="16"/>
      <c r="C206" s="17"/>
      <c r="D206" s="16"/>
      <c r="E206" s="18"/>
      <c r="F206" s="16"/>
      <c r="G206" s="16"/>
      <c r="H206" s="16"/>
      <c r="I206" s="16"/>
      <c r="J206" s="8">
        <f>IF(B206="",IF(AND(A206="Plus one",K206&lt;&gt;""),"↳ Plus one of "&amp;K206&amp;" (name TBC)",""),IF(A206="Plus one",IF(C206&lt;&gt;"","Leave party size empty",IF(K206="","Put it under a main guest","↳ Plus one of "&amp;K206)),IF(C206="","Add a party size",IF(COUNTIFS($K$4:$K$403,B206,$A$4:$A$403,"Plus one")&gt;C206-1,"More plus ones than party size",IF(AND(OR(D206="WhatsApp",D206="Both"),E206=""),"Add a phone number",IF(AND(OR(D206="Email",D206="Both"),F206=""),"Add an email",IF(AND(F206&lt;&gt;"",ISERROR(SEARCH("@",F206))),"Check the email","✓ Ready")))))))</f>
      </c>
      <c r="K206">
        <f>IF(A206="Plus one",K205,B206)</f>
      </c>
    </row>
    <row r="207" spans="1:11" x14ac:dyDescent="0.25">
      <c r="A207" s="13" t="s">
        <v>22</v>
      </c>
      <c r="B207" s="13"/>
      <c r="C207" s="14"/>
      <c r="D207" s="13"/>
      <c r="E207" s="15"/>
      <c r="F207" s="13"/>
      <c r="G207" s="13"/>
      <c r="H207" s="13"/>
      <c r="I207" s="13"/>
      <c r="J207" s="12">
        <f>IF(B207="",IF(AND(A207="Plus one",K207&lt;&gt;""),"↳ Plus one of "&amp;K207&amp;" (name TBC)",""),IF(A207="Plus one",IF(C207&lt;&gt;"","Leave party size empty",IF(K207="","Put it under a main guest","↳ Plus one of "&amp;K207)),IF(C207="","Add a party size",IF(COUNTIFS($K$4:$K$403,B207,$A$4:$A$403,"Plus one")&gt;C207-1,"More plus ones than party size",IF(AND(OR(D207="WhatsApp",D207="Both"),E207=""),"Add a phone number",IF(AND(OR(D207="Email",D207="Both"),F207=""),"Add an email",IF(AND(F207&lt;&gt;"",ISERROR(SEARCH("@",F207))),"Check the email","✓ Ready")))))))</f>
      </c>
      <c r="K207">
        <f>IF(A207="Plus one",K206,B207)</f>
      </c>
    </row>
    <row r="208" spans="1:11" x14ac:dyDescent="0.25">
      <c r="A208" s="16" t="s">
        <v>22</v>
      </c>
      <c r="B208" s="16"/>
      <c r="C208" s="17"/>
      <c r="D208" s="16"/>
      <c r="E208" s="18"/>
      <c r="F208" s="16"/>
      <c r="G208" s="16"/>
      <c r="H208" s="16"/>
      <c r="I208" s="16"/>
      <c r="J208" s="8">
        <f>IF(B208="",IF(AND(A208="Plus one",K208&lt;&gt;""),"↳ Plus one of "&amp;K208&amp;" (name TBC)",""),IF(A208="Plus one",IF(C208&lt;&gt;"","Leave party size empty",IF(K208="","Put it under a main guest","↳ Plus one of "&amp;K208)),IF(C208="","Add a party size",IF(COUNTIFS($K$4:$K$403,B208,$A$4:$A$403,"Plus one")&gt;C208-1,"More plus ones than party size",IF(AND(OR(D208="WhatsApp",D208="Both"),E208=""),"Add a phone number",IF(AND(OR(D208="Email",D208="Both"),F208=""),"Add an email",IF(AND(F208&lt;&gt;"",ISERROR(SEARCH("@",F208))),"Check the email","✓ Ready")))))))</f>
      </c>
      <c r="K208">
        <f>IF(A208="Plus one",K207,B208)</f>
      </c>
    </row>
    <row r="209" spans="1:11" x14ac:dyDescent="0.25">
      <c r="A209" s="13" t="s">
        <v>22</v>
      </c>
      <c r="B209" s="13"/>
      <c r="C209" s="14"/>
      <c r="D209" s="13"/>
      <c r="E209" s="15"/>
      <c r="F209" s="13"/>
      <c r="G209" s="13"/>
      <c r="H209" s="13"/>
      <c r="I209" s="13"/>
      <c r="J209" s="12">
        <f>IF(B209="",IF(AND(A209="Plus one",K209&lt;&gt;""),"↳ Plus one of "&amp;K209&amp;" (name TBC)",""),IF(A209="Plus one",IF(C209&lt;&gt;"","Leave party size empty",IF(K209="","Put it under a main guest","↳ Plus one of "&amp;K209)),IF(C209="","Add a party size",IF(COUNTIFS($K$4:$K$403,B209,$A$4:$A$403,"Plus one")&gt;C209-1,"More plus ones than party size",IF(AND(OR(D209="WhatsApp",D209="Both"),E209=""),"Add a phone number",IF(AND(OR(D209="Email",D209="Both"),F209=""),"Add an email",IF(AND(F209&lt;&gt;"",ISERROR(SEARCH("@",F209))),"Check the email","✓ Ready")))))))</f>
      </c>
      <c r="K209">
        <f>IF(A209="Plus one",K208,B209)</f>
      </c>
    </row>
    <row r="210" spans="1:11" x14ac:dyDescent="0.25">
      <c r="A210" s="16" t="s">
        <v>22</v>
      </c>
      <c r="B210" s="16"/>
      <c r="C210" s="17"/>
      <c r="D210" s="16"/>
      <c r="E210" s="18"/>
      <c r="F210" s="16"/>
      <c r="G210" s="16"/>
      <c r="H210" s="16"/>
      <c r="I210" s="16"/>
      <c r="J210" s="8">
        <f>IF(B210="",IF(AND(A210="Plus one",K210&lt;&gt;""),"↳ Plus one of "&amp;K210&amp;" (name TBC)",""),IF(A210="Plus one",IF(C210&lt;&gt;"","Leave party size empty",IF(K210="","Put it under a main guest","↳ Plus one of "&amp;K210)),IF(C210="","Add a party size",IF(COUNTIFS($K$4:$K$403,B210,$A$4:$A$403,"Plus one")&gt;C210-1,"More plus ones than party size",IF(AND(OR(D210="WhatsApp",D210="Both"),E210=""),"Add a phone number",IF(AND(OR(D210="Email",D210="Both"),F210=""),"Add an email",IF(AND(F210&lt;&gt;"",ISERROR(SEARCH("@",F210))),"Check the email","✓ Ready")))))))</f>
      </c>
      <c r="K210">
        <f>IF(A210="Plus one",K209,B210)</f>
      </c>
    </row>
    <row r="211" spans="1:11" x14ac:dyDescent="0.25">
      <c r="A211" s="13" t="s">
        <v>22</v>
      </c>
      <c r="B211" s="13"/>
      <c r="C211" s="14"/>
      <c r="D211" s="13"/>
      <c r="E211" s="15"/>
      <c r="F211" s="13"/>
      <c r="G211" s="13"/>
      <c r="H211" s="13"/>
      <c r="I211" s="13"/>
      <c r="J211" s="12">
        <f>IF(B211="",IF(AND(A211="Plus one",K211&lt;&gt;""),"↳ Plus one of "&amp;K211&amp;" (name TBC)",""),IF(A211="Plus one",IF(C211&lt;&gt;"","Leave party size empty",IF(K211="","Put it under a main guest","↳ Plus one of "&amp;K211)),IF(C211="","Add a party size",IF(COUNTIFS($K$4:$K$403,B211,$A$4:$A$403,"Plus one")&gt;C211-1,"More plus ones than party size",IF(AND(OR(D211="WhatsApp",D211="Both"),E211=""),"Add a phone number",IF(AND(OR(D211="Email",D211="Both"),F211=""),"Add an email",IF(AND(F211&lt;&gt;"",ISERROR(SEARCH("@",F211))),"Check the email","✓ Ready")))))))</f>
      </c>
      <c r="K211">
        <f>IF(A211="Plus one",K210,B211)</f>
      </c>
    </row>
    <row r="212" spans="1:11" x14ac:dyDescent="0.25">
      <c r="A212" s="16" t="s">
        <v>22</v>
      </c>
      <c r="B212" s="16"/>
      <c r="C212" s="17"/>
      <c r="D212" s="16"/>
      <c r="E212" s="18"/>
      <c r="F212" s="16"/>
      <c r="G212" s="16"/>
      <c r="H212" s="16"/>
      <c r="I212" s="16"/>
      <c r="J212" s="8">
        <f>IF(B212="",IF(AND(A212="Plus one",K212&lt;&gt;""),"↳ Plus one of "&amp;K212&amp;" (name TBC)",""),IF(A212="Plus one",IF(C212&lt;&gt;"","Leave party size empty",IF(K212="","Put it under a main guest","↳ Plus one of "&amp;K212)),IF(C212="","Add a party size",IF(COUNTIFS($K$4:$K$403,B212,$A$4:$A$403,"Plus one")&gt;C212-1,"More plus ones than party size",IF(AND(OR(D212="WhatsApp",D212="Both"),E212=""),"Add a phone number",IF(AND(OR(D212="Email",D212="Both"),F212=""),"Add an email",IF(AND(F212&lt;&gt;"",ISERROR(SEARCH("@",F212))),"Check the email","✓ Ready")))))))</f>
      </c>
      <c r="K212">
        <f>IF(A212="Plus one",K211,B212)</f>
      </c>
    </row>
    <row r="213" spans="1:11" x14ac:dyDescent="0.25">
      <c r="A213" s="13" t="s">
        <v>22</v>
      </c>
      <c r="B213" s="13"/>
      <c r="C213" s="14"/>
      <c r="D213" s="13"/>
      <c r="E213" s="15"/>
      <c r="F213" s="13"/>
      <c r="G213" s="13"/>
      <c r="H213" s="13"/>
      <c r="I213" s="13"/>
      <c r="J213" s="12">
        <f>IF(B213="",IF(AND(A213="Plus one",K213&lt;&gt;""),"↳ Plus one of "&amp;K213&amp;" (name TBC)",""),IF(A213="Plus one",IF(C213&lt;&gt;"","Leave party size empty",IF(K213="","Put it under a main guest","↳ Plus one of "&amp;K213)),IF(C213="","Add a party size",IF(COUNTIFS($K$4:$K$403,B213,$A$4:$A$403,"Plus one")&gt;C213-1,"More plus ones than party size",IF(AND(OR(D213="WhatsApp",D213="Both"),E213=""),"Add a phone number",IF(AND(OR(D213="Email",D213="Both"),F213=""),"Add an email",IF(AND(F213&lt;&gt;"",ISERROR(SEARCH("@",F213))),"Check the email","✓ Ready")))))))</f>
      </c>
      <c r="K213">
        <f>IF(A213="Plus one",K212,B213)</f>
      </c>
    </row>
    <row r="214" spans="1:11" x14ac:dyDescent="0.25">
      <c r="A214" s="16" t="s">
        <v>22</v>
      </c>
      <c r="B214" s="16"/>
      <c r="C214" s="17"/>
      <c r="D214" s="16"/>
      <c r="E214" s="18"/>
      <c r="F214" s="16"/>
      <c r="G214" s="16"/>
      <c r="H214" s="16"/>
      <c r="I214" s="16"/>
      <c r="J214" s="8">
        <f>IF(B214="",IF(AND(A214="Plus one",K214&lt;&gt;""),"↳ Plus one of "&amp;K214&amp;" (name TBC)",""),IF(A214="Plus one",IF(C214&lt;&gt;"","Leave party size empty",IF(K214="","Put it under a main guest","↳ Plus one of "&amp;K214)),IF(C214="","Add a party size",IF(COUNTIFS($K$4:$K$403,B214,$A$4:$A$403,"Plus one")&gt;C214-1,"More plus ones than party size",IF(AND(OR(D214="WhatsApp",D214="Both"),E214=""),"Add a phone number",IF(AND(OR(D214="Email",D214="Both"),F214=""),"Add an email",IF(AND(F214&lt;&gt;"",ISERROR(SEARCH("@",F214))),"Check the email","✓ Ready")))))))</f>
      </c>
      <c r="K214">
        <f>IF(A214="Plus one",K213,B214)</f>
      </c>
    </row>
    <row r="215" spans="1:11" x14ac:dyDescent="0.25">
      <c r="A215" s="13" t="s">
        <v>22</v>
      </c>
      <c r="B215" s="13"/>
      <c r="C215" s="14"/>
      <c r="D215" s="13"/>
      <c r="E215" s="15"/>
      <c r="F215" s="13"/>
      <c r="G215" s="13"/>
      <c r="H215" s="13"/>
      <c r="I215" s="13"/>
      <c r="J215" s="12">
        <f>IF(B215="",IF(AND(A215="Plus one",K215&lt;&gt;""),"↳ Plus one of "&amp;K215&amp;" (name TBC)",""),IF(A215="Plus one",IF(C215&lt;&gt;"","Leave party size empty",IF(K215="","Put it under a main guest","↳ Plus one of "&amp;K215)),IF(C215="","Add a party size",IF(COUNTIFS($K$4:$K$403,B215,$A$4:$A$403,"Plus one")&gt;C215-1,"More plus ones than party size",IF(AND(OR(D215="WhatsApp",D215="Both"),E215=""),"Add a phone number",IF(AND(OR(D215="Email",D215="Both"),F215=""),"Add an email",IF(AND(F215&lt;&gt;"",ISERROR(SEARCH("@",F215))),"Check the email","✓ Ready")))))))</f>
      </c>
      <c r="K215">
        <f>IF(A215="Plus one",K214,B215)</f>
      </c>
    </row>
    <row r="216" spans="1:11" x14ac:dyDescent="0.25">
      <c r="A216" s="16" t="s">
        <v>22</v>
      </c>
      <c r="B216" s="16"/>
      <c r="C216" s="17"/>
      <c r="D216" s="16"/>
      <c r="E216" s="18"/>
      <c r="F216" s="16"/>
      <c r="G216" s="16"/>
      <c r="H216" s="16"/>
      <c r="I216" s="16"/>
      <c r="J216" s="8">
        <f>IF(B216="",IF(AND(A216="Plus one",K216&lt;&gt;""),"↳ Plus one of "&amp;K216&amp;" (name TBC)",""),IF(A216="Plus one",IF(C216&lt;&gt;"","Leave party size empty",IF(K216="","Put it under a main guest","↳ Plus one of "&amp;K216)),IF(C216="","Add a party size",IF(COUNTIFS($K$4:$K$403,B216,$A$4:$A$403,"Plus one")&gt;C216-1,"More plus ones than party size",IF(AND(OR(D216="WhatsApp",D216="Both"),E216=""),"Add a phone number",IF(AND(OR(D216="Email",D216="Both"),F216=""),"Add an email",IF(AND(F216&lt;&gt;"",ISERROR(SEARCH("@",F216))),"Check the email","✓ Ready")))))))</f>
      </c>
      <c r="K216">
        <f>IF(A216="Plus one",K215,B216)</f>
      </c>
    </row>
    <row r="217" spans="1:11" x14ac:dyDescent="0.25">
      <c r="A217" s="13" t="s">
        <v>22</v>
      </c>
      <c r="B217" s="13"/>
      <c r="C217" s="14"/>
      <c r="D217" s="13"/>
      <c r="E217" s="15"/>
      <c r="F217" s="13"/>
      <c r="G217" s="13"/>
      <c r="H217" s="13"/>
      <c r="I217" s="13"/>
      <c r="J217" s="12">
        <f>IF(B217="",IF(AND(A217="Plus one",K217&lt;&gt;""),"↳ Plus one of "&amp;K217&amp;" (name TBC)",""),IF(A217="Plus one",IF(C217&lt;&gt;"","Leave party size empty",IF(K217="","Put it under a main guest","↳ Plus one of "&amp;K217)),IF(C217="","Add a party size",IF(COUNTIFS($K$4:$K$403,B217,$A$4:$A$403,"Plus one")&gt;C217-1,"More plus ones than party size",IF(AND(OR(D217="WhatsApp",D217="Both"),E217=""),"Add a phone number",IF(AND(OR(D217="Email",D217="Both"),F217=""),"Add an email",IF(AND(F217&lt;&gt;"",ISERROR(SEARCH("@",F217))),"Check the email","✓ Ready")))))))</f>
      </c>
      <c r="K217">
        <f>IF(A217="Plus one",K216,B217)</f>
      </c>
    </row>
    <row r="218" spans="1:11" x14ac:dyDescent="0.25">
      <c r="A218" s="16" t="s">
        <v>22</v>
      </c>
      <c r="B218" s="16"/>
      <c r="C218" s="17"/>
      <c r="D218" s="16"/>
      <c r="E218" s="18"/>
      <c r="F218" s="16"/>
      <c r="G218" s="16"/>
      <c r="H218" s="16"/>
      <c r="I218" s="16"/>
      <c r="J218" s="8">
        <f>IF(B218="",IF(AND(A218="Plus one",K218&lt;&gt;""),"↳ Plus one of "&amp;K218&amp;" (name TBC)",""),IF(A218="Plus one",IF(C218&lt;&gt;"","Leave party size empty",IF(K218="","Put it under a main guest","↳ Plus one of "&amp;K218)),IF(C218="","Add a party size",IF(COUNTIFS($K$4:$K$403,B218,$A$4:$A$403,"Plus one")&gt;C218-1,"More plus ones than party size",IF(AND(OR(D218="WhatsApp",D218="Both"),E218=""),"Add a phone number",IF(AND(OR(D218="Email",D218="Both"),F218=""),"Add an email",IF(AND(F218&lt;&gt;"",ISERROR(SEARCH("@",F218))),"Check the email","✓ Ready")))))))</f>
      </c>
      <c r="K218">
        <f>IF(A218="Plus one",K217,B218)</f>
      </c>
    </row>
    <row r="219" spans="1:11" x14ac:dyDescent="0.25">
      <c r="A219" s="13" t="s">
        <v>22</v>
      </c>
      <c r="B219" s="13"/>
      <c r="C219" s="14"/>
      <c r="D219" s="13"/>
      <c r="E219" s="15"/>
      <c r="F219" s="13"/>
      <c r="G219" s="13"/>
      <c r="H219" s="13"/>
      <c r="I219" s="13"/>
      <c r="J219" s="12">
        <f>IF(B219="",IF(AND(A219="Plus one",K219&lt;&gt;""),"↳ Plus one of "&amp;K219&amp;" (name TBC)",""),IF(A219="Plus one",IF(C219&lt;&gt;"","Leave party size empty",IF(K219="","Put it under a main guest","↳ Plus one of "&amp;K219)),IF(C219="","Add a party size",IF(COUNTIFS($K$4:$K$403,B219,$A$4:$A$403,"Plus one")&gt;C219-1,"More plus ones than party size",IF(AND(OR(D219="WhatsApp",D219="Both"),E219=""),"Add a phone number",IF(AND(OR(D219="Email",D219="Both"),F219=""),"Add an email",IF(AND(F219&lt;&gt;"",ISERROR(SEARCH("@",F219))),"Check the email","✓ Ready")))))))</f>
      </c>
      <c r="K219">
        <f>IF(A219="Plus one",K218,B219)</f>
      </c>
    </row>
    <row r="220" spans="1:11" x14ac:dyDescent="0.25">
      <c r="A220" s="16" t="s">
        <v>22</v>
      </c>
      <c r="B220" s="16"/>
      <c r="C220" s="17"/>
      <c r="D220" s="16"/>
      <c r="E220" s="18"/>
      <c r="F220" s="16"/>
      <c r="G220" s="16"/>
      <c r="H220" s="16"/>
      <c r="I220" s="16"/>
      <c r="J220" s="8">
        <f>IF(B220="",IF(AND(A220="Plus one",K220&lt;&gt;""),"↳ Plus one of "&amp;K220&amp;" (name TBC)",""),IF(A220="Plus one",IF(C220&lt;&gt;"","Leave party size empty",IF(K220="","Put it under a main guest","↳ Plus one of "&amp;K220)),IF(C220="","Add a party size",IF(COUNTIFS($K$4:$K$403,B220,$A$4:$A$403,"Plus one")&gt;C220-1,"More plus ones than party size",IF(AND(OR(D220="WhatsApp",D220="Both"),E220=""),"Add a phone number",IF(AND(OR(D220="Email",D220="Both"),F220=""),"Add an email",IF(AND(F220&lt;&gt;"",ISERROR(SEARCH("@",F220))),"Check the email","✓ Ready")))))))</f>
      </c>
      <c r="K220">
        <f>IF(A220="Plus one",K219,B220)</f>
      </c>
    </row>
    <row r="221" spans="1:11" x14ac:dyDescent="0.25">
      <c r="A221" s="13" t="s">
        <v>22</v>
      </c>
      <c r="B221" s="13"/>
      <c r="C221" s="14"/>
      <c r="D221" s="13"/>
      <c r="E221" s="15"/>
      <c r="F221" s="13"/>
      <c r="G221" s="13"/>
      <c r="H221" s="13"/>
      <c r="I221" s="13"/>
      <c r="J221" s="12">
        <f>IF(B221="",IF(AND(A221="Plus one",K221&lt;&gt;""),"↳ Plus one of "&amp;K221&amp;" (name TBC)",""),IF(A221="Plus one",IF(C221&lt;&gt;"","Leave party size empty",IF(K221="","Put it under a main guest","↳ Plus one of "&amp;K221)),IF(C221="","Add a party size",IF(COUNTIFS($K$4:$K$403,B221,$A$4:$A$403,"Plus one")&gt;C221-1,"More plus ones than party size",IF(AND(OR(D221="WhatsApp",D221="Both"),E221=""),"Add a phone number",IF(AND(OR(D221="Email",D221="Both"),F221=""),"Add an email",IF(AND(F221&lt;&gt;"",ISERROR(SEARCH("@",F221))),"Check the email","✓ Ready")))))))</f>
      </c>
      <c r="K221">
        <f>IF(A221="Plus one",K220,B221)</f>
      </c>
    </row>
    <row r="222" spans="1:11" x14ac:dyDescent="0.25">
      <c r="A222" s="16" t="s">
        <v>22</v>
      </c>
      <c r="B222" s="16"/>
      <c r="C222" s="17"/>
      <c r="D222" s="16"/>
      <c r="E222" s="18"/>
      <c r="F222" s="16"/>
      <c r="G222" s="16"/>
      <c r="H222" s="16"/>
      <c r="I222" s="16"/>
      <c r="J222" s="8">
        <f>IF(B222="",IF(AND(A222="Plus one",K222&lt;&gt;""),"↳ Plus one of "&amp;K222&amp;" (name TBC)",""),IF(A222="Plus one",IF(C222&lt;&gt;"","Leave party size empty",IF(K222="","Put it under a main guest","↳ Plus one of "&amp;K222)),IF(C222="","Add a party size",IF(COUNTIFS($K$4:$K$403,B222,$A$4:$A$403,"Plus one")&gt;C222-1,"More plus ones than party size",IF(AND(OR(D222="WhatsApp",D222="Both"),E222=""),"Add a phone number",IF(AND(OR(D222="Email",D222="Both"),F222=""),"Add an email",IF(AND(F222&lt;&gt;"",ISERROR(SEARCH("@",F222))),"Check the email","✓ Ready")))))))</f>
      </c>
      <c r="K222">
        <f>IF(A222="Plus one",K221,B222)</f>
      </c>
    </row>
    <row r="223" spans="1:11" x14ac:dyDescent="0.25">
      <c r="A223" s="13" t="s">
        <v>22</v>
      </c>
      <c r="B223" s="13"/>
      <c r="C223" s="14"/>
      <c r="D223" s="13"/>
      <c r="E223" s="15"/>
      <c r="F223" s="13"/>
      <c r="G223" s="13"/>
      <c r="H223" s="13"/>
      <c r="I223" s="13"/>
      <c r="J223" s="12">
        <f>IF(B223="",IF(AND(A223="Plus one",K223&lt;&gt;""),"↳ Plus one of "&amp;K223&amp;" (name TBC)",""),IF(A223="Plus one",IF(C223&lt;&gt;"","Leave party size empty",IF(K223="","Put it under a main guest","↳ Plus one of "&amp;K223)),IF(C223="","Add a party size",IF(COUNTIFS($K$4:$K$403,B223,$A$4:$A$403,"Plus one")&gt;C223-1,"More plus ones than party size",IF(AND(OR(D223="WhatsApp",D223="Both"),E223=""),"Add a phone number",IF(AND(OR(D223="Email",D223="Both"),F223=""),"Add an email",IF(AND(F223&lt;&gt;"",ISERROR(SEARCH("@",F223))),"Check the email","✓ Ready")))))))</f>
      </c>
      <c r="K223">
        <f>IF(A223="Plus one",K222,B223)</f>
      </c>
    </row>
    <row r="224" spans="1:11" x14ac:dyDescent="0.25">
      <c r="A224" s="16" t="s">
        <v>22</v>
      </c>
      <c r="B224" s="16"/>
      <c r="C224" s="17"/>
      <c r="D224" s="16"/>
      <c r="E224" s="18"/>
      <c r="F224" s="16"/>
      <c r="G224" s="16"/>
      <c r="H224" s="16"/>
      <c r="I224" s="16"/>
      <c r="J224" s="8">
        <f>IF(B224="",IF(AND(A224="Plus one",K224&lt;&gt;""),"↳ Plus one of "&amp;K224&amp;" (name TBC)",""),IF(A224="Plus one",IF(C224&lt;&gt;"","Leave party size empty",IF(K224="","Put it under a main guest","↳ Plus one of "&amp;K224)),IF(C224="","Add a party size",IF(COUNTIFS($K$4:$K$403,B224,$A$4:$A$403,"Plus one")&gt;C224-1,"More plus ones than party size",IF(AND(OR(D224="WhatsApp",D224="Both"),E224=""),"Add a phone number",IF(AND(OR(D224="Email",D224="Both"),F224=""),"Add an email",IF(AND(F224&lt;&gt;"",ISERROR(SEARCH("@",F224))),"Check the email","✓ Ready")))))))</f>
      </c>
      <c r="K224">
        <f>IF(A224="Plus one",K223,B224)</f>
      </c>
    </row>
    <row r="225" spans="1:11" x14ac:dyDescent="0.25">
      <c r="A225" s="13" t="s">
        <v>22</v>
      </c>
      <c r="B225" s="13"/>
      <c r="C225" s="14"/>
      <c r="D225" s="13"/>
      <c r="E225" s="15"/>
      <c r="F225" s="13"/>
      <c r="G225" s="13"/>
      <c r="H225" s="13"/>
      <c r="I225" s="13"/>
      <c r="J225" s="12">
        <f>IF(B225="",IF(AND(A225="Plus one",K225&lt;&gt;""),"↳ Plus one of "&amp;K225&amp;" (name TBC)",""),IF(A225="Plus one",IF(C225&lt;&gt;"","Leave party size empty",IF(K225="","Put it under a main guest","↳ Plus one of "&amp;K225)),IF(C225="","Add a party size",IF(COUNTIFS($K$4:$K$403,B225,$A$4:$A$403,"Plus one")&gt;C225-1,"More plus ones than party size",IF(AND(OR(D225="WhatsApp",D225="Both"),E225=""),"Add a phone number",IF(AND(OR(D225="Email",D225="Both"),F225=""),"Add an email",IF(AND(F225&lt;&gt;"",ISERROR(SEARCH("@",F225))),"Check the email","✓ Ready")))))))</f>
      </c>
      <c r="K225">
        <f>IF(A225="Plus one",K224,B225)</f>
      </c>
    </row>
    <row r="226" spans="1:11" x14ac:dyDescent="0.25">
      <c r="A226" s="16" t="s">
        <v>22</v>
      </c>
      <c r="B226" s="16"/>
      <c r="C226" s="17"/>
      <c r="D226" s="16"/>
      <c r="E226" s="18"/>
      <c r="F226" s="16"/>
      <c r="G226" s="16"/>
      <c r="H226" s="16"/>
      <c r="I226" s="16"/>
      <c r="J226" s="8">
        <f>IF(B226="",IF(AND(A226="Plus one",K226&lt;&gt;""),"↳ Plus one of "&amp;K226&amp;" (name TBC)",""),IF(A226="Plus one",IF(C226&lt;&gt;"","Leave party size empty",IF(K226="","Put it under a main guest","↳ Plus one of "&amp;K226)),IF(C226="","Add a party size",IF(COUNTIFS($K$4:$K$403,B226,$A$4:$A$403,"Plus one")&gt;C226-1,"More plus ones than party size",IF(AND(OR(D226="WhatsApp",D226="Both"),E226=""),"Add a phone number",IF(AND(OR(D226="Email",D226="Both"),F226=""),"Add an email",IF(AND(F226&lt;&gt;"",ISERROR(SEARCH("@",F226))),"Check the email","✓ Ready")))))))</f>
      </c>
      <c r="K226">
        <f>IF(A226="Plus one",K225,B226)</f>
      </c>
    </row>
    <row r="227" spans="1:11" x14ac:dyDescent="0.25">
      <c r="A227" s="13" t="s">
        <v>22</v>
      </c>
      <c r="B227" s="13"/>
      <c r="C227" s="14"/>
      <c r="D227" s="13"/>
      <c r="E227" s="15"/>
      <c r="F227" s="13"/>
      <c r="G227" s="13"/>
      <c r="H227" s="13"/>
      <c r="I227" s="13"/>
      <c r="J227" s="12">
        <f>IF(B227="",IF(AND(A227="Plus one",K227&lt;&gt;""),"↳ Plus one of "&amp;K227&amp;" (name TBC)",""),IF(A227="Plus one",IF(C227&lt;&gt;"","Leave party size empty",IF(K227="","Put it under a main guest","↳ Plus one of "&amp;K227)),IF(C227="","Add a party size",IF(COUNTIFS($K$4:$K$403,B227,$A$4:$A$403,"Plus one")&gt;C227-1,"More plus ones than party size",IF(AND(OR(D227="WhatsApp",D227="Both"),E227=""),"Add a phone number",IF(AND(OR(D227="Email",D227="Both"),F227=""),"Add an email",IF(AND(F227&lt;&gt;"",ISERROR(SEARCH("@",F227))),"Check the email","✓ Ready")))))))</f>
      </c>
      <c r="K227">
        <f>IF(A227="Plus one",K226,B227)</f>
      </c>
    </row>
    <row r="228" spans="1:11" x14ac:dyDescent="0.25">
      <c r="A228" s="16" t="s">
        <v>22</v>
      </c>
      <c r="B228" s="16"/>
      <c r="C228" s="17"/>
      <c r="D228" s="16"/>
      <c r="E228" s="18"/>
      <c r="F228" s="16"/>
      <c r="G228" s="16"/>
      <c r="H228" s="16"/>
      <c r="I228" s="16"/>
      <c r="J228" s="8">
        <f>IF(B228="",IF(AND(A228="Plus one",K228&lt;&gt;""),"↳ Plus one of "&amp;K228&amp;" (name TBC)",""),IF(A228="Plus one",IF(C228&lt;&gt;"","Leave party size empty",IF(K228="","Put it under a main guest","↳ Plus one of "&amp;K228)),IF(C228="","Add a party size",IF(COUNTIFS($K$4:$K$403,B228,$A$4:$A$403,"Plus one")&gt;C228-1,"More plus ones than party size",IF(AND(OR(D228="WhatsApp",D228="Both"),E228=""),"Add a phone number",IF(AND(OR(D228="Email",D228="Both"),F228=""),"Add an email",IF(AND(F228&lt;&gt;"",ISERROR(SEARCH("@",F228))),"Check the email","✓ Ready")))))))</f>
      </c>
      <c r="K228">
        <f>IF(A228="Plus one",K227,B228)</f>
      </c>
    </row>
    <row r="229" spans="1:11" x14ac:dyDescent="0.25">
      <c r="A229" s="13" t="s">
        <v>22</v>
      </c>
      <c r="B229" s="13"/>
      <c r="C229" s="14"/>
      <c r="D229" s="13"/>
      <c r="E229" s="15"/>
      <c r="F229" s="13"/>
      <c r="G229" s="13"/>
      <c r="H229" s="13"/>
      <c r="I229" s="13"/>
      <c r="J229" s="12">
        <f>IF(B229="",IF(AND(A229="Plus one",K229&lt;&gt;""),"↳ Plus one of "&amp;K229&amp;" (name TBC)",""),IF(A229="Plus one",IF(C229&lt;&gt;"","Leave party size empty",IF(K229="","Put it under a main guest","↳ Plus one of "&amp;K229)),IF(C229="","Add a party size",IF(COUNTIFS($K$4:$K$403,B229,$A$4:$A$403,"Plus one")&gt;C229-1,"More plus ones than party size",IF(AND(OR(D229="WhatsApp",D229="Both"),E229=""),"Add a phone number",IF(AND(OR(D229="Email",D229="Both"),F229=""),"Add an email",IF(AND(F229&lt;&gt;"",ISERROR(SEARCH("@",F229))),"Check the email","✓ Ready")))))))</f>
      </c>
      <c r="K229">
        <f>IF(A229="Plus one",K228,B229)</f>
      </c>
    </row>
    <row r="230" spans="1:11" x14ac:dyDescent="0.25">
      <c r="A230" s="16" t="s">
        <v>22</v>
      </c>
      <c r="B230" s="16"/>
      <c r="C230" s="17"/>
      <c r="D230" s="16"/>
      <c r="E230" s="18"/>
      <c r="F230" s="16"/>
      <c r="G230" s="16"/>
      <c r="H230" s="16"/>
      <c r="I230" s="16"/>
      <c r="J230" s="8">
        <f>IF(B230="",IF(AND(A230="Plus one",K230&lt;&gt;""),"↳ Plus one of "&amp;K230&amp;" (name TBC)",""),IF(A230="Plus one",IF(C230&lt;&gt;"","Leave party size empty",IF(K230="","Put it under a main guest","↳ Plus one of "&amp;K230)),IF(C230="","Add a party size",IF(COUNTIFS($K$4:$K$403,B230,$A$4:$A$403,"Plus one")&gt;C230-1,"More plus ones than party size",IF(AND(OR(D230="WhatsApp",D230="Both"),E230=""),"Add a phone number",IF(AND(OR(D230="Email",D230="Both"),F230=""),"Add an email",IF(AND(F230&lt;&gt;"",ISERROR(SEARCH("@",F230))),"Check the email","✓ Ready")))))))</f>
      </c>
      <c r="K230">
        <f>IF(A230="Plus one",K229,B230)</f>
      </c>
    </row>
    <row r="231" spans="1:11" x14ac:dyDescent="0.25">
      <c r="A231" s="13" t="s">
        <v>22</v>
      </c>
      <c r="B231" s="13"/>
      <c r="C231" s="14"/>
      <c r="D231" s="13"/>
      <c r="E231" s="15"/>
      <c r="F231" s="13"/>
      <c r="G231" s="13"/>
      <c r="H231" s="13"/>
      <c r="I231" s="13"/>
      <c r="J231" s="12">
        <f>IF(B231="",IF(AND(A231="Plus one",K231&lt;&gt;""),"↳ Plus one of "&amp;K231&amp;" (name TBC)",""),IF(A231="Plus one",IF(C231&lt;&gt;"","Leave party size empty",IF(K231="","Put it under a main guest","↳ Plus one of "&amp;K231)),IF(C231="","Add a party size",IF(COUNTIFS($K$4:$K$403,B231,$A$4:$A$403,"Plus one")&gt;C231-1,"More plus ones than party size",IF(AND(OR(D231="WhatsApp",D231="Both"),E231=""),"Add a phone number",IF(AND(OR(D231="Email",D231="Both"),F231=""),"Add an email",IF(AND(F231&lt;&gt;"",ISERROR(SEARCH("@",F231))),"Check the email","✓ Ready")))))))</f>
      </c>
      <c r="K231">
        <f>IF(A231="Plus one",K230,B231)</f>
      </c>
    </row>
    <row r="232" spans="1:11" x14ac:dyDescent="0.25">
      <c r="A232" s="16" t="s">
        <v>22</v>
      </c>
      <c r="B232" s="16"/>
      <c r="C232" s="17"/>
      <c r="D232" s="16"/>
      <c r="E232" s="18"/>
      <c r="F232" s="16"/>
      <c r="G232" s="16"/>
      <c r="H232" s="16"/>
      <c r="I232" s="16"/>
      <c r="J232" s="8">
        <f>IF(B232="",IF(AND(A232="Plus one",K232&lt;&gt;""),"↳ Plus one of "&amp;K232&amp;" (name TBC)",""),IF(A232="Plus one",IF(C232&lt;&gt;"","Leave party size empty",IF(K232="","Put it under a main guest","↳ Plus one of "&amp;K232)),IF(C232="","Add a party size",IF(COUNTIFS($K$4:$K$403,B232,$A$4:$A$403,"Plus one")&gt;C232-1,"More plus ones than party size",IF(AND(OR(D232="WhatsApp",D232="Both"),E232=""),"Add a phone number",IF(AND(OR(D232="Email",D232="Both"),F232=""),"Add an email",IF(AND(F232&lt;&gt;"",ISERROR(SEARCH("@",F232))),"Check the email","✓ Ready")))))))</f>
      </c>
      <c r="K232">
        <f>IF(A232="Plus one",K231,B232)</f>
      </c>
    </row>
    <row r="233" spans="1:11" x14ac:dyDescent="0.25">
      <c r="A233" s="13" t="s">
        <v>22</v>
      </c>
      <c r="B233" s="13"/>
      <c r="C233" s="14"/>
      <c r="D233" s="13"/>
      <c r="E233" s="15"/>
      <c r="F233" s="13"/>
      <c r="G233" s="13"/>
      <c r="H233" s="13"/>
      <c r="I233" s="13"/>
      <c r="J233" s="12">
        <f>IF(B233="",IF(AND(A233="Plus one",K233&lt;&gt;""),"↳ Plus one of "&amp;K233&amp;" (name TBC)",""),IF(A233="Plus one",IF(C233&lt;&gt;"","Leave party size empty",IF(K233="","Put it under a main guest","↳ Plus one of "&amp;K233)),IF(C233="","Add a party size",IF(COUNTIFS($K$4:$K$403,B233,$A$4:$A$403,"Plus one")&gt;C233-1,"More plus ones than party size",IF(AND(OR(D233="WhatsApp",D233="Both"),E233=""),"Add a phone number",IF(AND(OR(D233="Email",D233="Both"),F233=""),"Add an email",IF(AND(F233&lt;&gt;"",ISERROR(SEARCH("@",F233))),"Check the email","✓ Ready")))))))</f>
      </c>
      <c r="K233">
        <f>IF(A233="Plus one",K232,B233)</f>
      </c>
    </row>
    <row r="234" spans="1:11" x14ac:dyDescent="0.25">
      <c r="A234" s="16" t="s">
        <v>22</v>
      </c>
      <c r="B234" s="16"/>
      <c r="C234" s="17"/>
      <c r="D234" s="16"/>
      <c r="E234" s="18"/>
      <c r="F234" s="16"/>
      <c r="G234" s="16"/>
      <c r="H234" s="16"/>
      <c r="I234" s="16"/>
      <c r="J234" s="8">
        <f>IF(B234="",IF(AND(A234="Plus one",K234&lt;&gt;""),"↳ Plus one of "&amp;K234&amp;" (name TBC)",""),IF(A234="Plus one",IF(C234&lt;&gt;"","Leave party size empty",IF(K234="","Put it under a main guest","↳ Plus one of "&amp;K234)),IF(C234="","Add a party size",IF(COUNTIFS($K$4:$K$403,B234,$A$4:$A$403,"Plus one")&gt;C234-1,"More plus ones than party size",IF(AND(OR(D234="WhatsApp",D234="Both"),E234=""),"Add a phone number",IF(AND(OR(D234="Email",D234="Both"),F234=""),"Add an email",IF(AND(F234&lt;&gt;"",ISERROR(SEARCH("@",F234))),"Check the email","✓ Ready")))))))</f>
      </c>
      <c r="K234">
        <f>IF(A234="Plus one",K233,B234)</f>
      </c>
    </row>
    <row r="235" spans="1:11" x14ac:dyDescent="0.25">
      <c r="A235" s="13" t="s">
        <v>22</v>
      </c>
      <c r="B235" s="13"/>
      <c r="C235" s="14"/>
      <c r="D235" s="13"/>
      <c r="E235" s="15"/>
      <c r="F235" s="13"/>
      <c r="G235" s="13"/>
      <c r="H235" s="13"/>
      <c r="I235" s="13"/>
      <c r="J235" s="12">
        <f>IF(B235="",IF(AND(A235="Plus one",K235&lt;&gt;""),"↳ Plus one of "&amp;K235&amp;" (name TBC)",""),IF(A235="Plus one",IF(C235&lt;&gt;"","Leave party size empty",IF(K235="","Put it under a main guest","↳ Plus one of "&amp;K235)),IF(C235="","Add a party size",IF(COUNTIFS($K$4:$K$403,B235,$A$4:$A$403,"Plus one")&gt;C235-1,"More plus ones than party size",IF(AND(OR(D235="WhatsApp",D235="Both"),E235=""),"Add a phone number",IF(AND(OR(D235="Email",D235="Both"),F235=""),"Add an email",IF(AND(F235&lt;&gt;"",ISERROR(SEARCH("@",F235))),"Check the email","✓ Ready")))))))</f>
      </c>
      <c r="K235">
        <f>IF(A235="Plus one",K234,B235)</f>
      </c>
    </row>
    <row r="236" spans="1:11" x14ac:dyDescent="0.25">
      <c r="A236" s="16" t="s">
        <v>22</v>
      </c>
      <c r="B236" s="16"/>
      <c r="C236" s="17"/>
      <c r="D236" s="16"/>
      <c r="E236" s="18"/>
      <c r="F236" s="16"/>
      <c r="G236" s="16"/>
      <c r="H236" s="16"/>
      <c r="I236" s="16"/>
      <c r="J236" s="8">
        <f>IF(B236="",IF(AND(A236="Plus one",K236&lt;&gt;""),"↳ Plus one of "&amp;K236&amp;" (name TBC)",""),IF(A236="Plus one",IF(C236&lt;&gt;"","Leave party size empty",IF(K236="","Put it under a main guest","↳ Plus one of "&amp;K236)),IF(C236="","Add a party size",IF(COUNTIFS($K$4:$K$403,B236,$A$4:$A$403,"Plus one")&gt;C236-1,"More plus ones than party size",IF(AND(OR(D236="WhatsApp",D236="Both"),E236=""),"Add a phone number",IF(AND(OR(D236="Email",D236="Both"),F236=""),"Add an email",IF(AND(F236&lt;&gt;"",ISERROR(SEARCH("@",F236))),"Check the email","✓ Ready")))))))</f>
      </c>
      <c r="K236">
        <f>IF(A236="Plus one",K235,B236)</f>
      </c>
    </row>
    <row r="237" spans="1:11" x14ac:dyDescent="0.25">
      <c r="A237" s="13" t="s">
        <v>22</v>
      </c>
      <c r="B237" s="13"/>
      <c r="C237" s="14"/>
      <c r="D237" s="13"/>
      <c r="E237" s="15"/>
      <c r="F237" s="13"/>
      <c r="G237" s="13"/>
      <c r="H237" s="13"/>
      <c r="I237" s="13"/>
      <c r="J237" s="12">
        <f>IF(B237="",IF(AND(A237="Plus one",K237&lt;&gt;""),"↳ Plus one of "&amp;K237&amp;" (name TBC)",""),IF(A237="Plus one",IF(C237&lt;&gt;"","Leave party size empty",IF(K237="","Put it under a main guest","↳ Plus one of "&amp;K237)),IF(C237="","Add a party size",IF(COUNTIFS($K$4:$K$403,B237,$A$4:$A$403,"Plus one")&gt;C237-1,"More plus ones than party size",IF(AND(OR(D237="WhatsApp",D237="Both"),E237=""),"Add a phone number",IF(AND(OR(D237="Email",D237="Both"),F237=""),"Add an email",IF(AND(F237&lt;&gt;"",ISERROR(SEARCH("@",F237))),"Check the email","✓ Ready")))))))</f>
      </c>
      <c r="K237">
        <f>IF(A237="Plus one",K236,B237)</f>
      </c>
    </row>
    <row r="238" spans="1:11" x14ac:dyDescent="0.25">
      <c r="A238" s="16" t="s">
        <v>22</v>
      </c>
      <c r="B238" s="16"/>
      <c r="C238" s="17"/>
      <c r="D238" s="16"/>
      <c r="E238" s="18"/>
      <c r="F238" s="16"/>
      <c r="G238" s="16"/>
      <c r="H238" s="16"/>
      <c r="I238" s="16"/>
      <c r="J238" s="8">
        <f>IF(B238="",IF(AND(A238="Plus one",K238&lt;&gt;""),"↳ Plus one of "&amp;K238&amp;" (name TBC)",""),IF(A238="Plus one",IF(C238&lt;&gt;"","Leave party size empty",IF(K238="","Put it under a main guest","↳ Plus one of "&amp;K238)),IF(C238="","Add a party size",IF(COUNTIFS($K$4:$K$403,B238,$A$4:$A$403,"Plus one")&gt;C238-1,"More plus ones than party size",IF(AND(OR(D238="WhatsApp",D238="Both"),E238=""),"Add a phone number",IF(AND(OR(D238="Email",D238="Both"),F238=""),"Add an email",IF(AND(F238&lt;&gt;"",ISERROR(SEARCH("@",F238))),"Check the email","✓ Ready")))))))</f>
      </c>
      <c r="K238">
        <f>IF(A238="Plus one",K237,B238)</f>
      </c>
    </row>
    <row r="239" spans="1:11" x14ac:dyDescent="0.25">
      <c r="A239" s="13" t="s">
        <v>22</v>
      </c>
      <c r="B239" s="13"/>
      <c r="C239" s="14"/>
      <c r="D239" s="13"/>
      <c r="E239" s="15"/>
      <c r="F239" s="13"/>
      <c r="G239" s="13"/>
      <c r="H239" s="13"/>
      <c r="I239" s="13"/>
      <c r="J239" s="12">
        <f>IF(B239="",IF(AND(A239="Plus one",K239&lt;&gt;""),"↳ Plus one of "&amp;K239&amp;" (name TBC)",""),IF(A239="Plus one",IF(C239&lt;&gt;"","Leave party size empty",IF(K239="","Put it under a main guest","↳ Plus one of "&amp;K239)),IF(C239="","Add a party size",IF(COUNTIFS($K$4:$K$403,B239,$A$4:$A$403,"Plus one")&gt;C239-1,"More plus ones than party size",IF(AND(OR(D239="WhatsApp",D239="Both"),E239=""),"Add a phone number",IF(AND(OR(D239="Email",D239="Both"),F239=""),"Add an email",IF(AND(F239&lt;&gt;"",ISERROR(SEARCH("@",F239))),"Check the email","✓ Ready")))))))</f>
      </c>
      <c r="K239">
        <f>IF(A239="Plus one",K238,B239)</f>
      </c>
    </row>
    <row r="240" spans="1:11" x14ac:dyDescent="0.25">
      <c r="A240" s="16" t="s">
        <v>22</v>
      </c>
      <c r="B240" s="16"/>
      <c r="C240" s="17"/>
      <c r="D240" s="16"/>
      <c r="E240" s="18"/>
      <c r="F240" s="16"/>
      <c r="G240" s="16"/>
      <c r="H240" s="16"/>
      <c r="I240" s="16"/>
      <c r="J240" s="8">
        <f>IF(B240="",IF(AND(A240="Plus one",K240&lt;&gt;""),"↳ Plus one of "&amp;K240&amp;" (name TBC)",""),IF(A240="Plus one",IF(C240&lt;&gt;"","Leave party size empty",IF(K240="","Put it under a main guest","↳ Plus one of "&amp;K240)),IF(C240="","Add a party size",IF(COUNTIFS($K$4:$K$403,B240,$A$4:$A$403,"Plus one")&gt;C240-1,"More plus ones than party size",IF(AND(OR(D240="WhatsApp",D240="Both"),E240=""),"Add a phone number",IF(AND(OR(D240="Email",D240="Both"),F240=""),"Add an email",IF(AND(F240&lt;&gt;"",ISERROR(SEARCH("@",F240))),"Check the email","✓ Ready")))))))</f>
      </c>
      <c r="K240">
        <f>IF(A240="Plus one",K239,B240)</f>
      </c>
    </row>
    <row r="241" spans="1:11" x14ac:dyDescent="0.25">
      <c r="A241" s="13" t="s">
        <v>22</v>
      </c>
      <c r="B241" s="13"/>
      <c r="C241" s="14"/>
      <c r="D241" s="13"/>
      <c r="E241" s="15"/>
      <c r="F241" s="13"/>
      <c r="G241" s="13"/>
      <c r="H241" s="13"/>
      <c r="I241" s="13"/>
      <c r="J241" s="12">
        <f>IF(B241="",IF(AND(A241="Plus one",K241&lt;&gt;""),"↳ Plus one of "&amp;K241&amp;" (name TBC)",""),IF(A241="Plus one",IF(C241&lt;&gt;"","Leave party size empty",IF(K241="","Put it under a main guest","↳ Plus one of "&amp;K241)),IF(C241="","Add a party size",IF(COUNTIFS($K$4:$K$403,B241,$A$4:$A$403,"Plus one")&gt;C241-1,"More plus ones than party size",IF(AND(OR(D241="WhatsApp",D241="Both"),E241=""),"Add a phone number",IF(AND(OR(D241="Email",D241="Both"),F241=""),"Add an email",IF(AND(F241&lt;&gt;"",ISERROR(SEARCH("@",F241))),"Check the email","✓ Ready")))))))</f>
      </c>
      <c r="K241">
        <f>IF(A241="Plus one",K240,B241)</f>
      </c>
    </row>
    <row r="242" spans="1:11" x14ac:dyDescent="0.25">
      <c r="A242" s="16" t="s">
        <v>22</v>
      </c>
      <c r="B242" s="16"/>
      <c r="C242" s="17"/>
      <c r="D242" s="16"/>
      <c r="E242" s="18"/>
      <c r="F242" s="16"/>
      <c r="G242" s="16"/>
      <c r="H242" s="16"/>
      <c r="I242" s="16"/>
      <c r="J242" s="8">
        <f>IF(B242="",IF(AND(A242="Plus one",K242&lt;&gt;""),"↳ Plus one of "&amp;K242&amp;" (name TBC)",""),IF(A242="Plus one",IF(C242&lt;&gt;"","Leave party size empty",IF(K242="","Put it under a main guest","↳ Plus one of "&amp;K242)),IF(C242="","Add a party size",IF(COUNTIFS($K$4:$K$403,B242,$A$4:$A$403,"Plus one")&gt;C242-1,"More plus ones than party size",IF(AND(OR(D242="WhatsApp",D242="Both"),E242=""),"Add a phone number",IF(AND(OR(D242="Email",D242="Both"),F242=""),"Add an email",IF(AND(F242&lt;&gt;"",ISERROR(SEARCH("@",F242))),"Check the email","✓ Ready")))))))</f>
      </c>
      <c r="K242">
        <f>IF(A242="Plus one",K241,B242)</f>
      </c>
    </row>
    <row r="243" spans="1:11" x14ac:dyDescent="0.25">
      <c r="A243" s="13" t="s">
        <v>22</v>
      </c>
      <c r="B243" s="13"/>
      <c r="C243" s="14"/>
      <c r="D243" s="13"/>
      <c r="E243" s="15"/>
      <c r="F243" s="13"/>
      <c r="G243" s="13"/>
      <c r="H243" s="13"/>
      <c r="I243" s="13"/>
      <c r="J243" s="12">
        <f>IF(B243="",IF(AND(A243="Plus one",K243&lt;&gt;""),"↳ Plus one of "&amp;K243&amp;" (name TBC)",""),IF(A243="Plus one",IF(C243&lt;&gt;"","Leave party size empty",IF(K243="","Put it under a main guest","↳ Plus one of "&amp;K243)),IF(C243="","Add a party size",IF(COUNTIFS($K$4:$K$403,B243,$A$4:$A$403,"Plus one")&gt;C243-1,"More plus ones than party size",IF(AND(OR(D243="WhatsApp",D243="Both"),E243=""),"Add a phone number",IF(AND(OR(D243="Email",D243="Both"),F243=""),"Add an email",IF(AND(F243&lt;&gt;"",ISERROR(SEARCH("@",F243))),"Check the email","✓ Ready")))))))</f>
      </c>
      <c r="K243">
        <f>IF(A243="Plus one",K242,B243)</f>
      </c>
    </row>
    <row r="244" spans="1:11" x14ac:dyDescent="0.25">
      <c r="A244" s="16" t="s">
        <v>22</v>
      </c>
      <c r="B244" s="16"/>
      <c r="C244" s="17"/>
      <c r="D244" s="16"/>
      <c r="E244" s="18"/>
      <c r="F244" s="16"/>
      <c r="G244" s="16"/>
      <c r="H244" s="16"/>
      <c r="I244" s="16"/>
      <c r="J244" s="8">
        <f>IF(B244="",IF(AND(A244="Plus one",K244&lt;&gt;""),"↳ Plus one of "&amp;K244&amp;" (name TBC)",""),IF(A244="Plus one",IF(C244&lt;&gt;"","Leave party size empty",IF(K244="","Put it under a main guest","↳ Plus one of "&amp;K244)),IF(C244="","Add a party size",IF(COUNTIFS($K$4:$K$403,B244,$A$4:$A$403,"Plus one")&gt;C244-1,"More plus ones than party size",IF(AND(OR(D244="WhatsApp",D244="Both"),E244=""),"Add a phone number",IF(AND(OR(D244="Email",D244="Both"),F244=""),"Add an email",IF(AND(F244&lt;&gt;"",ISERROR(SEARCH("@",F244))),"Check the email","✓ Ready")))))))</f>
      </c>
      <c r="K244">
        <f>IF(A244="Plus one",K243,B244)</f>
      </c>
    </row>
    <row r="245" spans="1:11" x14ac:dyDescent="0.25">
      <c r="A245" s="13" t="s">
        <v>22</v>
      </c>
      <c r="B245" s="13"/>
      <c r="C245" s="14"/>
      <c r="D245" s="13"/>
      <c r="E245" s="15"/>
      <c r="F245" s="13"/>
      <c r="G245" s="13"/>
      <c r="H245" s="13"/>
      <c r="I245" s="13"/>
      <c r="J245" s="12">
        <f>IF(B245="",IF(AND(A245="Plus one",K245&lt;&gt;""),"↳ Plus one of "&amp;K245&amp;" (name TBC)",""),IF(A245="Plus one",IF(C245&lt;&gt;"","Leave party size empty",IF(K245="","Put it under a main guest","↳ Plus one of "&amp;K245)),IF(C245="","Add a party size",IF(COUNTIFS($K$4:$K$403,B245,$A$4:$A$403,"Plus one")&gt;C245-1,"More plus ones than party size",IF(AND(OR(D245="WhatsApp",D245="Both"),E245=""),"Add a phone number",IF(AND(OR(D245="Email",D245="Both"),F245=""),"Add an email",IF(AND(F245&lt;&gt;"",ISERROR(SEARCH("@",F245))),"Check the email","✓ Ready")))))))</f>
      </c>
      <c r="K245">
        <f>IF(A245="Plus one",K244,B245)</f>
      </c>
    </row>
    <row r="246" spans="1:11" x14ac:dyDescent="0.25">
      <c r="A246" s="16" t="s">
        <v>22</v>
      </c>
      <c r="B246" s="16"/>
      <c r="C246" s="17"/>
      <c r="D246" s="16"/>
      <c r="E246" s="18"/>
      <c r="F246" s="16"/>
      <c r="G246" s="16"/>
      <c r="H246" s="16"/>
      <c r="I246" s="16"/>
      <c r="J246" s="8">
        <f>IF(B246="",IF(AND(A246="Plus one",K246&lt;&gt;""),"↳ Plus one of "&amp;K246&amp;" (name TBC)",""),IF(A246="Plus one",IF(C246&lt;&gt;"","Leave party size empty",IF(K246="","Put it under a main guest","↳ Plus one of "&amp;K246)),IF(C246="","Add a party size",IF(COUNTIFS($K$4:$K$403,B246,$A$4:$A$403,"Plus one")&gt;C246-1,"More plus ones than party size",IF(AND(OR(D246="WhatsApp",D246="Both"),E246=""),"Add a phone number",IF(AND(OR(D246="Email",D246="Both"),F246=""),"Add an email",IF(AND(F246&lt;&gt;"",ISERROR(SEARCH("@",F246))),"Check the email","✓ Ready")))))))</f>
      </c>
      <c r="K246">
        <f>IF(A246="Plus one",K245,B246)</f>
      </c>
    </row>
    <row r="247" spans="1:11" x14ac:dyDescent="0.25">
      <c r="A247" s="13" t="s">
        <v>22</v>
      </c>
      <c r="B247" s="13"/>
      <c r="C247" s="14"/>
      <c r="D247" s="13"/>
      <c r="E247" s="15"/>
      <c r="F247" s="13"/>
      <c r="G247" s="13"/>
      <c r="H247" s="13"/>
      <c r="I247" s="13"/>
      <c r="J247" s="12">
        <f>IF(B247="",IF(AND(A247="Plus one",K247&lt;&gt;""),"↳ Plus one of "&amp;K247&amp;" (name TBC)",""),IF(A247="Plus one",IF(C247&lt;&gt;"","Leave party size empty",IF(K247="","Put it under a main guest","↳ Plus one of "&amp;K247)),IF(C247="","Add a party size",IF(COUNTIFS($K$4:$K$403,B247,$A$4:$A$403,"Plus one")&gt;C247-1,"More plus ones than party size",IF(AND(OR(D247="WhatsApp",D247="Both"),E247=""),"Add a phone number",IF(AND(OR(D247="Email",D247="Both"),F247=""),"Add an email",IF(AND(F247&lt;&gt;"",ISERROR(SEARCH("@",F247))),"Check the email","✓ Ready")))))))</f>
      </c>
      <c r="K247">
        <f>IF(A247="Plus one",K246,B247)</f>
      </c>
    </row>
    <row r="248" spans="1:11" x14ac:dyDescent="0.25">
      <c r="A248" s="16" t="s">
        <v>22</v>
      </c>
      <c r="B248" s="16"/>
      <c r="C248" s="17"/>
      <c r="D248" s="16"/>
      <c r="E248" s="18"/>
      <c r="F248" s="16"/>
      <c r="G248" s="16"/>
      <c r="H248" s="16"/>
      <c r="I248" s="16"/>
      <c r="J248" s="8">
        <f>IF(B248="",IF(AND(A248="Plus one",K248&lt;&gt;""),"↳ Plus one of "&amp;K248&amp;" (name TBC)",""),IF(A248="Plus one",IF(C248&lt;&gt;"","Leave party size empty",IF(K248="","Put it under a main guest","↳ Plus one of "&amp;K248)),IF(C248="","Add a party size",IF(COUNTIFS($K$4:$K$403,B248,$A$4:$A$403,"Plus one")&gt;C248-1,"More plus ones than party size",IF(AND(OR(D248="WhatsApp",D248="Both"),E248=""),"Add a phone number",IF(AND(OR(D248="Email",D248="Both"),F248=""),"Add an email",IF(AND(F248&lt;&gt;"",ISERROR(SEARCH("@",F248))),"Check the email","✓ Ready")))))))</f>
      </c>
      <c r="K248">
        <f>IF(A248="Plus one",K247,B248)</f>
      </c>
    </row>
    <row r="249" spans="1:11" x14ac:dyDescent="0.25">
      <c r="A249" s="13" t="s">
        <v>22</v>
      </c>
      <c r="B249" s="13"/>
      <c r="C249" s="14"/>
      <c r="D249" s="13"/>
      <c r="E249" s="15"/>
      <c r="F249" s="13"/>
      <c r="G249" s="13"/>
      <c r="H249" s="13"/>
      <c r="I249" s="13"/>
      <c r="J249" s="12">
        <f>IF(B249="",IF(AND(A249="Plus one",K249&lt;&gt;""),"↳ Plus one of "&amp;K249&amp;" (name TBC)",""),IF(A249="Plus one",IF(C249&lt;&gt;"","Leave party size empty",IF(K249="","Put it under a main guest","↳ Plus one of "&amp;K249)),IF(C249="","Add a party size",IF(COUNTIFS($K$4:$K$403,B249,$A$4:$A$403,"Plus one")&gt;C249-1,"More plus ones than party size",IF(AND(OR(D249="WhatsApp",D249="Both"),E249=""),"Add a phone number",IF(AND(OR(D249="Email",D249="Both"),F249=""),"Add an email",IF(AND(F249&lt;&gt;"",ISERROR(SEARCH("@",F249))),"Check the email","✓ Ready")))))))</f>
      </c>
      <c r="K249">
        <f>IF(A249="Plus one",K248,B249)</f>
      </c>
    </row>
    <row r="250" spans="1:11" x14ac:dyDescent="0.25">
      <c r="A250" s="16" t="s">
        <v>22</v>
      </c>
      <c r="B250" s="16"/>
      <c r="C250" s="17"/>
      <c r="D250" s="16"/>
      <c r="E250" s="18"/>
      <c r="F250" s="16"/>
      <c r="G250" s="16"/>
      <c r="H250" s="16"/>
      <c r="I250" s="16"/>
      <c r="J250" s="8">
        <f>IF(B250="",IF(AND(A250="Plus one",K250&lt;&gt;""),"↳ Plus one of "&amp;K250&amp;" (name TBC)",""),IF(A250="Plus one",IF(C250&lt;&gt;"","Leave party size empty",IF(K250="","Put it under a main guest","↳ Plus one of "&amp;K250)),IF(C250="","Add a party size",IF(COUNTIFS($K$4:$K$403,B250,$A$4:$A$403,"Plus one")&gt;C250-1,"More plus ones than party size",IF(AND(OR(D250="WhatsApp",D250="Both"),E250=""),"Add a phone number",IF(AND(OR(D250="Email",D250="Both"),F250=""),"Add an email",IF(AND(F250&lt;&gt;"",ISERROR(SEARCH("@",F250))),"Check the email","✓ Ready")))))))</f>
      </c>
      <c r="K250">
        <f>IF(A250="Plus one",K249,B250)</f>
      </c>
    </row>
    <row r="251" spans="1:11" x14ac:dyDescent="0.25">
      <c r="A251" s="13" t="s">
        <v>22</v>
      </c>
      <c r="B251" s="13"/>
      <c r="C251" s="14"/>
      <c r="D251" s="13"/>
      <c r="E251" s="15"/>
      <c r="F251" s="13"/>
      <c r="G251" s="13"/>
      <c r="H251" s="13"/>
      <c r="I251" s="13"/>
      <c r="J251" s="12">
        <f>IF(B251="",IF(AND(A251="Plus one",K251&lt;&gt;""),"↳ Plus one of "&amp;K251&amp;" (name TBC)",""),IF(A251="Plus one",IF(C251&lt;&gt;"","Leave party size empty",IF(K251="","Put it under a main guest","↳ Plus one of "&amp;K251)),IF(C251="","Add a party size",IF(COUNTIFS($K$4:$K$403,B251,$A$4:$A$403,"Plus one")&gt;C251-1,"More plus ones than party size",IF(AND(OR(D251="WhatsApp",D251="Both"),E251=""),"Add a phone number",IF(AND(OR(D251="Email",D251="Both"),F251=""),"Add an email",IF(AND(F251&lt;&gt;"",ISERROR(SEARCH("@",F251))),"Check the email","✓ Ready")))))))</f>
      </c>
      <c r="K251">
        <f>IF(A251="Plus one",K250,B251)</f>
      </c>
    </row>
    <row r="252" spans="1:11" x14ac:dyDescent="0.25">
      <c r="A252" s="16" t="s">
        <v>22</v>
      </c>
      <c r="B252" s="16"/>
      <c r="C252" s="17"/>
      <c r="D252" s="16"/>
      <c r="E252" s="18"/>
      <c r="F252" s="16"/>
      <c r="G252" s="16"/>
      <c r="H252" s="16"/>
      <c r="I252" s="16"/>
      <c r="J252" s="8">
        <f>IF(B252="",IF(AND(A252="Plus one",K252&lt;&gt;""),"↳ Plus one of "&amp;K252&amp;" (name TBC)",""),IF(A252="Plus one",IF(C252&lt;&gt;"","Leave party size empty",IF(K252="","Put it under a main guest","↳ Plus one of "&amp;K252)),IF(C252="","Add a party size",IF(COUNTIFS($K$4:$K$403,B252,$A$4:$A$403,"Plus one")&gt;C252-1,"More plus ones than party size",IF(AND(OR(D252="WhatsApp",D252="Both"),E252=""),"Add a phone number",IF(AND(OR(D252="Email",D252="Both"),F252=""),"Add an email",IF(AND(F252&lt;&gt;"",ISERROR(SEARCH("@",F252))),"Check the email","✓ Ready")))))))</f>
      </c>
      <c r="K252">
        <f>IF(A252="Plus one",K251,B252)</f>
      </c>
    </row>
    <row r="253" spans="1:11" x14ac:dyDescent="0.25">
      <c r="A253" s="13" t="s">
        <v>22</v>
      </c>
      <c r="B253" s="13"/>
      <c r="C253" s="14"/>
      <c r="D253" s="13"/>
      <c r="E253" s="15"/>
      <c r="F253" s="13"/>
      <c r="G253" s="13"/>
      <c r="H253" s="13"/>
      <c r="I253" s="13"/>
      <c r="J253" s="12">
        <f>IF(B253="",IF(AND(A253="Plus one",K253&lt;&gt;""),"↳ Plus one of "&amp;K253&amp;" (name TBC)",""),IF(A253="Plus one",IF(C253&lt;&gt;"","Leave party size empty",IF(K253="","Put it under a main guest","↳ Plus one of "&amp;K253)),IF(C253="","Add a party size",IF(COUNTIFS($K$4:$K$403,B253,$A$4:$A$403,"Plus one")&gt;C253-1,"More plus ones than party size",IF(AND(OR(D253="WhatsApp",D253="Both"),E253=""),"Add a phone number",IF(AND(OR(D253="Email",D253="Both"),F253=""),"Add an email",IF(AND(F253&lt;&gt;"",ISERROR(SEARCH("@",F253))),"Check the email","✓ Ready")))))))</f>
      </c>
      <c r="K253">
        <f>IF(A253="Plus one",K252,B253)</f>
      </c>
    </row>
    <row r="254" spans="1:11" x14ac:dyDescent="0.25">
      <c r="A254" s="16" t="s">
        <v>22</v>
      </c>
      <c r="B254" s="16"/>
      <c r="C254" s="17"/>
      <c r="D254" s="16"/>
      <c r="E254" s="18"/>
      <c r="F254" s="16"/>
      <c r="G254" s="16"/>
      <c r="H254" s="16"/>
      <c r="I254" s="16"/>
      <c r="J254" s="8">
        <f>IF(B254="",IF(AND(A254="Plus one",K254&lt;&gt;""),"↳ Plus one of "&amp;K254&amp;" (name TBC)",""),IF(A254="Plus one",IF(C254&lt;&gt;"","Leave party size empty",IF(K254="","Put it under a main guest","↳ Plus one of "&amp;K254)),IF(C254="","Add a party size",IF(COUNTIFS($K$4:$K$403,B254,$A$4:$A$403,"Plus one")&gt;C254-1,"More plus ones than party size",IF(AND(OR(D254="WhatsApp",D254="Both"),E254=""),"Add a phone number",IF(AND(OR(D254="Email",D254="Both"),F254=""),"Add an email",IF(AND(F254&lt;&gt;"",ISERROR(SEARCH("@",F254))),"Check the email","✓ Ready")))))))</f>
      </c>
      <c r="K254">
        <f>IF(A254="Plus one",K253,B254)</f>
      </c>
    </row>
    <row r="255" spans="1:11" x14ac:dyDescent="0.25">
      <c r="A255" s="13" t="s">
        <v>22</v>
      </c>
      <c r="B255" s="13"/>
      <c r="C255" s="14"/>
      <c r="D255" s="13"/>
      <c r="E255" s="15"/>
      <c r="F255" s="13"/>
      <c r="G255" s="13"/>
      <c r="H255" s="13"/>
      <c r="I255" s="13"/>
      <c r="J255" s="12">
        <f>IF(B255="",IF(AND(A255="Plus one",K255&lt;&gt;""),"↳ Plus one of "&amp;K255&amp;" (name TBC)",""),IF(A255="Plus one",IF(C255&lt;&gt;"","Leave party size empty",IF(K255="","Put it under a main guest","↳ Plus one of "&amp;K255)),IF(C255="","Add a party size",IF(COUNTIFS($K$4:$K$403,B255,$A$4:$A$403,"Plus one")&gt;C255-1,"More plus ones than party size",IF(AND(OR(D255="WhatsApp",D255="Both"),E255=""),"Add a phone number",IF(AND(OR(D255="Email",D255="Both"),F255=""),"Add an email",IF(AND(F255&lt;&gt;"",ISERROR(SEARCH("@",F255))),"Check the email","✓ Ready")))))))</f>
      </c>
      <c r="K255">
        <f>IF(A255="Plus one",K254,B255)</f>
      </c>
    </row>
    <row r="256" spans="1:11" x14ac:dyDescent="0.25">
      <c r="A256" s="16" t="s">
        <v>22</v>
      </c>
      <c r="B256" s="16"/>
      <c r="C256" s="17"/>
      <c r="D256" s="16"/>
      <c r="E256" s="18"/>
      <c r="F256" s="16"/>
      <c r="G256" s="16"/>
      <c r="H256" s="16"/>
      <c r="I256" s="16"/>
      <c r="J256" s="8">
        <f>IF(B256="",IF(AND(A256="Plus one",K256&lt;&gt;""),"↳ Plus one of "&amp;K256&amp;" (name TBC)",""),IF(A256="Plus one",IF(C256&lt;&gt;"","Leave party size empty",IF(K256="","Put it under a main guest","↳ Plus one of "&amp;K256)),IF(C256="","Add a party size",IF(COUNTIFS($K$4:$K$403,B256,$A$4:$A$403,"Plus one")&gt;C256-1,"More plus ones than party size",IF(AND(OR(D256="WhatsApp",D256="Both"),E256=""),"Add a phone number",IF(AND(OR(D256="Email",D256="Both"),F256=""),"Add an email",IF(AND(F256&lt;&gt;"",ISERROR(SEARCH("@",F256))),"Check the email","✓ Ready")))))))</f>
      </c>
      <c r="K256">
        <f>IF(A256="Plus one",K255,B256)</f>
      </c>
    </row>
    <row r="257" spans="1:11" x14ac:dyDescent="0.25">
      <c r="A257" s="13" t="s">
        <v>22</v>
      </c>
      <c r="B257" s="13"/>
      <c r="C257" s="14"/>
      <c r="D257" s="13"/>
      <c r="E257" s="15"/>
      <c r="F257" s="13"/>
      <c r="G257" s="13"/>
      <c r="H257" s="13"/>
      <c r="I257" s="13"/>
      <c r="J257" s="12">
        <f>IF(B257="",IF(AND(A257="Plus one",K257&lt;&gt;""),"↳ Plus one of "&amp;K257&amp;" (name TBC)",""),IF(A257="Plus one",IF(C257&lt;&gt;"","Leave party size empty",IF(K257="","Put it under a main guest","↳ Plus one of "&amp;K257)),IF(C257="","Add a party size",IF(COUNTIFS($K$4:$K$403,B257,$A$4:$A$403,"Plus one")&gt;C257-1,"More plus ones than party size",IF(AND(OR(D257="WhatsApp",D257="Both"),E257=""),"Add a phone number",IF(AND(OR(D257="Email",D257="Both"),F257=""),"Add an email",IF(AND(F257&lt;&gt;"",ISERROR(SEARCH("@",F257))),"Check the email","✓ Ready")))))))</f>
      </c>
      <c r="K257">
        <f>IF(A257="Plus one",K256,B257)</f>
      </c>
    </row>
    <row r="258" spans="1:11" x14ac:dyDescent="0.25">
      <c r="A258" s="16" t="s">
        <v>22</v>
      </c>
      <c r="B258" s="16"/>
      <c r="C258" s="17"/>
      <c r="D258" s="16"/>
      <c r="E258" s="18"/>
      <c r="F258" s="16"/>
      <c r="G258" s="16"/>
      <c r="H258" s="16"/>
      <c r="I258" s="16"/>
      <c r="J258" s="8">
        <f>IF(B258="",IF(AND(A258="Plus one",K258&lt;&gt;""),"↳ Plus one of "&amp;K258&amp;" (name TBC)",""),IF(A258="Plus one",IF(C258&lt;&gt;"","Leave party size empty",IF(K258="","Put it under a main guest","↳ Plus one of "&amp;K258)),IF(C258="","Add a party size",IF(COUNTIFS($K$4:$K$403,B258,$A$4:$A$403,"Plus one")&gt;C258-1,"More plus ones than party size",IF(AND(OR(D258="WhatsApp",D258="Both"),E258=""),"Add a phone number",IF(AND(OR(D258="Email",D258="Both"),F258=""),"Add an email",IF(AND(F258&lt;&gt;"",ISERROR(SEARCH("@",F258))),"Check the email","✓ Ready")))))))</f>
      </c>
      <c r="K258">
        <f>IF(A258="Plus one",K257,B258)</f>
      </c>
    </row>
    <row r="259" spans="1:11" x14ac:dyDescent="0.25">
      <c r="A259" s="13" t="s">
        <v>22</v>
      </c>
      <c r="B259" s="13"/>
      <c r="C259" s="14"/>
      <c r="D259" s="13"/>
      <c r="E259" s="15"/>
      <c r="F259" s="13"/>
      <c r="G259" s="13"/>
      <c r="H259" s="13"/>
      <c r="I259" s="13"/>
      <c r="J259" s="12">
        <f>IF(B259="",IF(AND(A259="Plus one",K259&lt;&gt;""),"↳ Plus one of "&amp;K259&amp;" (name TBC)",""),IF(A259="Plus one",IF(C259&lt;&gt;"","Leave party size empty",IF(K259="","Put it under a main guest","↳ Plus one of "&amp;K259)),IF(C259="","Add a party size",IF(COUNTIFS($K$4:$K$403,B259,$A$4:$A$403,"Plus one")&gt;C259-1,"More plus ones than party size",IF(AND(OR(D259="WhatsApp",D259="Both"),E259=""),"Add a phone number",IF(AND(OR(D259="Email",D259="Both"),F259=""),"Add an email",IF(AND(F259&lt;&gt;"",ISERROR(SEARCH("@",F259))),"Check the email","✓ Ready")))))))</f>
      </c>
      <c r="K259">
        <f>IF(A259="Plus one",K258,B259)</f>
      </c>
    </row>
    <row r="260" spans="1:11" x14ac:dyDescent="0.25">
      <c r="A260" s="16" t="s">
        <v>22</v>
      </c>
      <c r="B260" s="16"/>
      <c r="C260" s="17"/>
      <c r="D260" s="16"/>
      <c r="E260" s="18"/>
      <c r="F260" s="16"/>
      <c r="G260" s="16"/>
      <c r="H260" s="16"/>
      <c r="I260" s="16"/>
      <c r="J260" s="8">
        <f>IF(B260="",IF(AND(A260="Plus one",K260&lt;&gt;""),"↳ Plus one of "&amp;K260&amp;" (name TBC)",""),IF(A260="Plus one",IF(C260&lt;&gt;"","Leave party size empty",IF(K260="","Put it under a main guest","↳ Plus one of "&amp;K260)),IF(C260="","Add a party size",IF(COUNTIFS($K$4:$K$403,B260,$A$4:$A$403,"Plus one")&gt;C260-1,"More plus ones than party size",IF(AND(OR(D260="WhatsApp",D260="Both"),E260=""),"Add a phone number",IF(AND(OR(D260="Email",D260="Both"),F260=""),"Add an email",IF(AND(F260&lt;&gt;"",ISERROR(SEARCH("@",F260))),"Check the email","✓ Ready")))))))</f>
      </c>
      <c r="K260">
        <f>IF(A260="Plus one",K259,B260)</f>
      </c>
    </row>
    <row r="261" spans="1:11" x14ac:dyDescent="0.25">
      <c r="A261" s="13" t="s">
        <v>22</v>
      </c>
      <c r="B261" s="13"/>
      <c r="C261" s="14"/>
      <c r="D261" s="13"/>
      <c r="E261" s="15"/>
      <c r="F261" s="13"/>
      <c r="G261" s="13"/>
      <c r="H261" s="13"/>
      <c r="I261" s="13"/>
      <c r="J261" s="12">
        <f>IF(B261="",IF(AND(A261="Plus one",K261&lt;&gt;""),"↳ Plus one of "&amp;K261&amp;" (name TBC)",""),IF(A261="Plus one",IF(C261&lt;&gt;"","Leave party size empty",IF(K261="","Put it under a main guest","↳ Plus one of "&amp;K261)),IF(C261="","Add a party size",IF(COUNTIFS($K$4:$K$403,B261,$A$4:$A$403,"Plus one")&gt;C261-1,"More plus ones than party size",IF(AND(OR(D261="WhatsApp",D261="Both"),E261=""),"Add a phone number",IF(AND(OR(D261="Email",D261="Both"),F261=""),"Add an email",IF(AND(F261&lt;&gt;"",ISERROR(SEARCH("@",F261))),"Check the email","✓ Ready")))))))</f>
      </c>
      <c r="K261">
        <f>IF(A261="Plus one",K260,B261)</f>
      </c>
    </row>
    <row r="262" spans="1:11" x14ac:dyDescent="0.25">
      <c r="A262" s="16" t="s">
        <v>22</v>
      </c>
      <c r="B262" s="16"/>
      <c r="C262" s="17"/>
      <c r="D262" s="16"/>
      <c r="E262" s="18"/>
      <c r="F262" s="16"/>
      <c r="G262" s="16"/>
      <c r="H262" s="16"/>
      <c r="I262" s="16"/>
      <c r="J262" s="8">
        <f>IF(B262="",IF(AND(A262="Plus one",K262&lt;&gt;""),"↳ Plus one of "&amp;K262&amp;" (name TBC)",""),IF(A262="Plus one",IF(C262&lt;&gt;"","Leave party size empty",IF(K262="","Put it under a main guest","↳ Plus one of "&amp;K262)),IF(C262="","Add a party size",IF(COUNTIFS($K$4:$K$403,B262,$A$4:$A$403,"Plus one")&gt;C262-1,"More plus ones than party size",IF(AND(OR(D262="WhatsApp",D262="Both"),E262=""),"Add a phone number",IF(AND(OR(D262="Email",D262="Both"),F262=""),"Add an email",IF(AND(F262&lt;&gt;"",ISERROR(SEARCH("@",F262))),"Check the email","✓ Ready")))))))</f>
      </c>
      <c r="K262">
        <f>IF(A262="Plus one",K261,B262)</f>
      </c>
    </row>
    <row r="263" spans="1:11" x14ac:dyDescent="0.25">
      <c r="A263" s="13" t="s">
        <v>22</v>
      </c>
      <c r="B263" s="13"/>
      <c r="C263" s="14"/>
      <c r="D263" s="13"/>
      <c r="E263" s="15"/>
      <c r="F263" s="13"/>
      <c r="G263" s="13"/>
      <c r="H263" s="13"/>
      <c r="I263" s="13"/>
      <c r="J263" s="12">
        <f>IF(B263="",IF(AND(A263="Plus one",K263&lt;&gt;""),"↳ Plus one of "&amp;K263&amp;" (name TBC)",""),IF(A263="Plus one",IF(C263&lt;&gt;"","Leave party size empty",IF(K263="","Put it under a main guest","↳ Plus one of "&amp;K263)),IF(C263="","Add a party size",IF(COUNTIFS($K$4:$K$403,B263,$A$4:$A$403,"Plus one")&gt;C263-1,"More plus ones than party size",IF(AND(OR(D263="WhatsApp",D263="Both"),E263=""),"Add a phone number",IF(AND(OR(D263="Email",D263="Both"),F263=""),"Add an email",IF(AND(F263&lt;&gt;"",ISERROR(SEARCH("@",F263))),"Check the email","✓ Ready")))))))</f>
      </c>
      <c r="K263">
        <f>IF(A263="Plus one",K262,B263)</f>
      </c>
    </row>
    <row r="264" spans="1:11" x14ac:dyDescent="0.25">
      <c r="A264" s="16" t="s">
        <v>22</v>
      </c>
      <c r="B264" s="16"/>
      <c r="C264" s="17"/>
      <c r="D264" s="16"/>
      <c r="E264" s="18"/>
      <c r="F264" s="16"/>
      <c r="G264" s="16"/>
      <c r="H264" s="16"/>
      <c r="I264" s="16"/>
      <c r="J264" s="8">
        <f>IF(B264="",IF(AND(A264="Plus one",K264&lt;&gt;""),"↳ Plus one of "&amp;K264&amp;" (name TBC)",""),IF(A264="Plus one",IF(C264&lt;&gt;"","Leave party size empty",IF(K264="","Put it under a main guest","↳ Plus one of "&amp;K264)),IF(C264="","Add a party size",IF(COUNTIFS($K$4:$K$403,B264,$A$4:$A$403,"Plus one")&gt;C264-1,"More plus ones than party size",IF(AND(OR(D264="WhatsApp",D264="Both"),E264=""),"Add a phone number",IF(AND(OR(D264="Email",D264="Both"),F264=""),"Add an email",IF(AND(F264&lt;&gt;"",ISERROR(SEARCH("@",F264))),"Check the email","✓ Ready")))))))</f>
      </c>
      <c r="K264">
        <f>IF(A264="Plus one",K263,B264)</f>
      </c>
    </row>
    <row r="265" spans="1:11" x14ac:dyDescent="0.25">
      <c r="A265" s="13" t="s">
        <v>22</v>
      </c>
      <c r="B265" s="13"/>
      <c r="C265" s="14"/>
      <c r="D265" s="13"/>
      <c r="E265" s="15"/>
      <c r="F265" s="13"/>
      <c r="G265" s="13"/>
      <c r="H265" s="13"/>
      <c r="I265" s="13"/>
      <c r="J265" s="12">
        <f>IF(B265="",IF(AND(A265="Plus one",K265&lt;&gt;""),"↳ Plus one of "&amp;K265&amp;" (name TBC)",""),IF(A265="Plus one",IF(C265&lt;&gt;"","Leave party size empty",IF(K265="","Put it under a main guest","↳ Plus one of "&amp;K265)),IF(C265="","Add a party size",IF(COUNTIFS($K$4:$K$403,B265,$A$4:$A$403,"Plus one")&gt;C265-1,"More plus ones than party size",IF(AND(OR(D265="WhatsApp",D265="Both"),E265=""),"Add a phone number",IF(AND(OR(D265="Email",D265="Both"),F265=""),"Add an email",IF(AND(F265&lt;&gt;"",ISERROR(SEARCH("@",F265))),"Check the email","✓ Ready")))))))</f>
      </c>
      <c r="K265">
        <f>IF(A265="Plus one",K264,B265)</f>
      </c>
    </row>
    <row r="266" spans="1:11" x14ac:dyDescent="0.25">
      <c r="A266" s="16" t="s">
        <v>22</v>
      </c>
      <c r="B266" s="16"/>
      <c r="C266" s="17"/>
      <c r="D266" s="16"/>
      <c r="E266" s="18"/>
      <c r="F266" s="16"/>
      <c r="G266" s="16"/>
      <c r="H266" s="16"/>
      <c r="I266" s="16"/>
      <c r="J266" s="8">
        <f>IF(B266="",IF(AND(A266="Plus one",K266&lt;&gt;""),"↳ Plus one of "&amp;K266&amp;" (name TBC)",""),IF(A266="Plus one",IF(C266&lt;&gt;"","Leave party size empty",IF(K266="","Put it under a main guest","↳ Plus one of "&amp;K266)),IF(C266="","Add a party size",IF(COUNTIFS($K$4:$K$403,B266,$A$4:$A$403,"Plus one")&gt;C266-1,"More plus ones than party size",IF(AND(OR(D266="WhatsApp",D266="Both"),E266=""),"Add a phone number",IF(AND(OR(D266="Email",D266="Both"),F266=""),"Add an email",IF(AND(F266&lt;&gt;"",ISERROR(SEARCH("@",F266))),"Check the email","✓ Ready")))))))</f>
      </c>
      <c r="K266">
        <f>IF(A266="Plus one",K265,B266)</f>
      </c>
    </row>
    <row r="267" spans="1:11" x14ac:dyDescent="0.25">
      <c r="A267" s="13" t="s">
        <v>22</v>
      </c>
      <c r="B267" s="13"/>
      <c r="C267" s="14"/>
      <c r="D267" s="13"/>
      <c r="E267" s="15"/>
      <c r="F267" s="13"/>
      <c r="G267" s="13"/>
      <c r="H267" s="13"/>
      <c r="I267" s="13"/>
      <c r="J267" s="12">
        <f>IF(B267="",IF(AND(A267="Plus one",K267&lt;&gt;""),"↳ Plus one of "&amp;K267&amp;" (name TBC)",""),IF(A267="Plus one",IF(C267&lt;&gt;"","Leave party size empty",IF(K267="","Put it under a main guest","↳ Plus one of "&amp;K267)),IF(C267="","Add a party size",IF(COUNTIFS($K$4:$K$403,B267,$A$4:$A$403,"Plus one")&gt;C267-1,"More plus ones than party size",IF(AND(OR(D267="WhatsApp",D267="Both"),E267=""),"Add a phone number",IF(AND(OR(D267="Email",D267="Both"),F267=""),"Add an email",IF(AND(F267&lt;&gt;"",ISERROR(SEARCH("@",F267))),"Check the email","✓ Ready")))))))</f>
      </c>
      <c r="K267">
        <f>IF(A267="Plus one",K266,B267)</f>
      </c>
    </row>
    <row r="268" spans="1:11" x14ac:dyDescent="0.25">
      <c r="A268" s="16" t="s">
        <v>22</v>
      </c>
      <c r="B268" s="16"/>
      <c r="C268" s="17"/>
      <c r="D268" s="16"/>
      <c r="E268" s="18"/>
      <c r="F268" s="16"/>
      <c r="G268" s="16"/>
      <c r="H268" s="16"/>
      <c r="I268" s="16"/>
      <c r="J268" s="8">
        <f>IF(B268="",IF(AND(A268="Plus one",K268&lt;&gt;""),"↳ Plus one of "&amp;K268&amp;" (name TBC)",""),IF(A268="Plus one",IF(C268&lt;&gt;"","Leave party size empty",IF(K268="","Put it under a main guest","↳ Plus one of "&amp;K268)),IF(C268="","Add a party size",IF(COUNTIFS($K$4:$K$403,B268,$A$4:$A$403,"Plus one")&gt;C268-1,"More plus ones than party size",IF(AND(OR(D268="WhatsApp",D268="Both"),E268=""),"Add a phone number",IF(AND(OR(D268="Email",D268="Both"),F268=""),"Add an email",IF(AND(F268&lt;&gt;"",ISERROR(SEARCH("@",F268))),"Check the email","✓ Ready")))))))</f>
      </c>
      <c r="K268">
        <f>IF(A268="Plus one",K267,B268)</f>
      </c>
    </row>
    <row r="269" spans="1:11" x14ac:dyDescent="0.25">
      <c r="A269" s="13" t="s">
        <v>22</v>
      </c>
      <c r="B269" s="13"/>
      <c r="C269" s="14"/>
      <c r="D269" s="13"/>
      <c r="E269" s="15"/>
      <c r="F269" s="13"/>
      <c r="G269" s="13"/>
      <c r="H269" s="13"/>
      <c r="I269" s="13"/>
      <c r="J269" s="12">
        <f>IF(B269="",IF(AND(A269="Plus one",K269&lt;&gt;""),"↳ Plus one of "&amp;K269&amp;" (name TBC)",""),IF(A269="Plus one",IF(C269&lt;&gt;"","Leave party size empty",IF(K269="","Put it under a main guest","↳ Plus one of "&amp;K269)),IF(C269="","Add a party size",IF(COUNTIFS($K$4:$K$403,B269,$A$4:$A$403,"Plus one")&gt;C269-1,"More plus ones than party size",IF(AND(OR(D269="WhatsApp",D269="Both"),E269=""),"Add a phone number",IF(AND(OR(D269="Email",D269="Both"),F269=""),"Add an email",IF(AND(F269&lt;&gt;"",ISERROR(SEARCH("@",F269))),"Check the email","✓ Ready")))))))</f>
      </c>
      <c r="K269">
        <f>IF(A269="Plus one",K268,B269)</f>
      </c>
    </row>
    <row r="270" spans="1:11" x14ac:dyDescent="0.25">
      <c r="A270" s="16" t="s">
        <v>22</v>
      </c>
      <c r="B270" s="16"/>
      <c r="C270" s="17"/>
      <c r="D270" s="16"/>
      <c r="E270" s="18"/>
      <c r="F270" s="16"/>
      <c r="G270" s="16"/>
      <c r="H270" s="16"/>
      <c r="I270" s="16"/>
      <c r="J270" s="8">
        <f>IF(B270="",IF(AND(A270="Plus one",K270&lt;&gt;""),"↳ Plus one of "&amp;K270&amp;" (name TBC)",""),IF(A270="Plus one",IF(C270&lt;&gt;"","Leave party size empty",IF(K270="","Put it under a main guest","↳ Plus one of "&amp;K270)),IF(C270="","Add a party size",IF(COUNTIFS($K$4:$K$403,B270,$A$4:$A$403,"Plus one")&gt;C270-1,"More plus ones than party size",IF(AND(OR(D270="WhatsApp",D270="Both"),E270=""),"Add a phone number",IF(AND(OR(D270="Email",D270="Both"),F270=""),"Add an email",IF(AND(F270&lt;&gt;"",ISERROR(SEARCH("@",F270))),"Check the email","✓ Ready")))))))</f>
      </c>
      <c r="K270">
        <f>IF(A270="Plus one",K269,B270)</f>
      </c>
    </row>
    <row r="271" spans="1:11" x14ac:dyDescent="0.25">
      <c r="A271" s="13" t="s">
        <v>22</v>
      </c>
      <c r="B271" s="13"/>
      <c r="C271" s="14"/>
      <c r="D271" s="13"/>
      <c r="E271" s="15"/>
      <c r="F271" s="13"/>
      <c r="G271" s="13"/>
      <c r="H271" s="13"/>
      <c r="I271" s="13"/>
      <c r="J271" s="12">
        <f>IF(B271="",IF(AND(A271="Plus one",K271&lt;&gt;""),"↳ Plus one of "&amp;K271&amp;" (name TBC)",""),IF(A271="Plus one",IF(C271&lt;&gt;"","Leave party size empty",IF(K271="","Put it under a main guest","↳ Plus one of "&amp;K271)),IF(C271="","Add a party size",IF(COUNTIFS($K$4:$K$403,B271,$A$4:$A$403,"Plus one")&gt;C271-1,"More plus ones than party size",IF(AND(OR(D271="WhatsApp",D271="Both"),E271=""),"Add a phone number",IF(AND(OR(D271="Email",D271="Both"),F271=""),"Add an email",IF(AND(F271&lt;&gt;"",ISERROR(SEARCH("@",F271))),"Check the email","✓ Ready")))))))</f>
      </c>
      <c r="K271">
        <f>IF(A271="Plus one",K270,B271)</f>
      </c>
    </row>
    <row r="272" spans="1:11" x14ac:dyDescent="0.25">
      <c r="A272" s="16" t="s">
        <v>22</v>
      </c>
      <c r="B272" s="16"/>
      <c r="C272" s="17"/>
      <c r="D272" s="16"/>
      <c r="E272" s="18"/>
      <c r="F272" s="16"/>
      <c r="G272" s="16"/>
      <c r="H272" s="16"/>
      <c r="I272" s="16"/>
      <c r="J272" s="8">
        <f>IF(B272="",IF(AND(A272="Plus one",K272&lt;&gt;""),"↳ Plus one of "&amp;K272&amp;" (name TBC)",""),IF(A272="Plus one",IF(C272&lt;&gt;"","Leave party size empty",IF(K272="","Put it under a main guest","↳ Plus one of "&amp;K272)),IF(C272="","Add a party size",IF(COUNTIFS($K$4:$K$403,B272,$A$4:$A$403,"Plus one")&gt;C272-1,"More plus ones than party size",IF(AND(OR(D272="WhatsApp",D272="Both"),E272=""),"Add a phone number",IF(AND(OR(D272="Email",D272="Both"),F272=""),"Add an email",IF(AND(F272&lt;&gt;"",ISERROR(SEARCH("@",F272))),"Check the email","✓ Ready")))))))</f>
      </c>
      <c r="K272">
        <f>IF(A272="Plus one",K271,B272)</f>
      </c>
    </row>
    <row r="273" spans="1:11" x14ac:dyDescent="0.25">
      <c r="A273" s="13" t="s">
        <v>22</v>
      </c>
      <c r="B273" s="13"/>
      <c r="C273" s="14"/>
      <c r="D273" s="13"/>
      <c r="E273" s="15"/>
      <c r="F273" s="13"/>
      <c r="G273" s="13"/>
      <c r="H273" s="13"/>
      <c r="I273" s="13"/>
      <c r="J273" s="12">
        <f>IF(B273="",IF(AND(A273="Plus one",K273&lt;&gt;""),"↳ Plus one of "&amp;K273&amp;" (name TBC)",""),IF(A273="Plus one",IF(C273&lt;&gt;"","Leave party size empty",IF(K273="","Put it under a main guest","↳ Plus one of "&amp;K273)),IF(C273="","Add a party size",IF(COUNTIFS($K$4:$K$403,B273,$A$4:$A$403,"Plus one")&gt;C273-1,"More plus ones than party size",IF(AND(OR(D273="WhatsApp",D273="Both"),E273=""),"Add a phone number",IF(AND(OR(D273="Email",D273="Both"),F273=""),"Add an email",IF(AND(F273&lt;&gt;"",ISERROR(SEARCH("@",F273))),"Check the email","✓ Ready")))))))</f>
      </c>
      <c r="K273">
        <f>IF(A273="Plus one",K272,B273)</f>
      </c>
    </row>
    <row r="274" spans="1:11" x14ac:dyDescent="0.25">
      <c r="A274" s="16" t="s">
        <v>22</v>
      </c>
      <c r="B274" s="16"/>
      <c r="C274" s="17"/>
      <c r="D274" s="16"/>
      <c r="E274" s="18"/>
      <c r="F274" s="16"/>
      <c r="G274" s="16"/>
      <c r="H274" s="16"/>
      <c r="I274" s="16"/>
      <c r="J274" s="8">
        <f>IF(B274="",IF(AND(A274="Plus one",K274&lt;&gt;""),"↳ Plus one of "&amp;K274&amp;" (name TBC)",""),IF(A274="Plus one",IF(C274&lt;&gt;"","Leave party size empty",IF(K274="","Put it under a main guest","↳ Plus one of "&amp;K274)),IF(C274="","Add a party size",IF(COUNTIFS($K$4:$K$403,B274,$A$4:$A$403,"Plus one")&gt;C274-1,"More plus ones than party size",IF(AND(OR(D274="WhatsApp",D274="Both"),E274=""),"Add a phone number",IF(AND(OR(D274="Email",D274="Both"),F274=""),"Add an email",IF(AND(F274&lt;&gt;"",ISERROR(SEARCH("@",F274))),"Check the email","✓ Ready")))))))</f>
      </c>
      <c r="K274">
        <f>IF(A274="Plus one",K273,B274)</f>
      </c>
    </row>
    <row r="275" spans="1:11" x14ac:dyDescent="0.25">
      <c r="A275" s="13" t="s">
        <v>22</v>
      </c>
      <c r="B275" s="13"/>
      <c r="C275" s="14"/>
      <c r="D275" s="13"/>
      <c r="E275" s="15"/>
      <c r="F275" s="13"/>
      <c r="G275" s="13"/>
      <c r="H275" s="13"/>
      <c r="I275" s="13"/>
      <c r="J275" s="12">
        <f>IF(B275="",IF(AND(A275="Plus one",K275&lt;&gt;""),"↳ Plus one of "&amp;K275&amp;" (name TBC)",""),IF(A275="Plus one",IF(C275&lt;&gt;"","Leave party size empty",IF(K275="","Put it under a main guest","↳ Plus one of "&amp;K275)),IF(C275="","Add a party size",IF(COUNTIFS($K$4:$K$403,B275,$A$4:$A$403,"Plus one")&gt;C275-1,"More plus ones than party size",IF(AND(OR(D275="WhatsApp",D275="Both"),E275=""),"Add a phone number",IF(AND(OR(D275="Email",D275="Both"),F275=""),"Add an email",IF(AND(F275&lt;&gt;"",ISERROR(SEARCH("@",F275))),"Check the email","✓ Ready")))))))</f>
      </c>
      <c r="K275">
        <f>IF(A275="Plus one",K274,B275)</f>
      </c>
    </row>
    <row r="276" spans="1:11" x14ac:dyDescent="0.25">
      <c r="A276" s="16" t="s">
        <v>22</v>
      </c>
      <c r="B276" s="16"/>
      <c r="C276" s="17"/>
      <c r="D276" s="16"/>
      <c r="E276" s="18"/>
      <c r="F276" s="16"/>
      <c r="G276" s="16"/>
      <c r="H276" s="16"/>
      <c r="I276" s="16"/>
      <c r="J276" s="8">
        <f>IF(B276="",IF(AND(A276="Plus one",K276&lt;&gt;""),"↳ Plus one of "&amp;K276&amp;" (name TBC)",""),IF(A276="Plus one",IF(C276&lt;&gt;"","Leave party size empty",IF(K276="","Put it under a main guest","↳ Plus one of "&amp;K276)),IF(C276="","Add a party size",IF(COUNTIFS($K$4:$K$403,B276,$A$4:$A$403,"Plus one")&gt;C276-1,"More plus ones than party size",IF(AND(OR(D276="WhatsApp",D276="Both"),E276=""),"Add a phone number",IF(AND(OR(D276="Email",D276="Both"),F276=""),"Add an email",IF(AND(F276&lt;&gt;"",ISERROR(SEARCH("@",F276))),"Check the email","✓ Ready")))))))</f>
      </c>
      <c r="K276">
        <f>IF(A276="Plus one",K275,B276)</f>
      </c>
    </row>
    <row r="277" spans="1:11" x14ac:dyDescent="0.25">
      <c r="A277" s="13" t="s">
        <v>22</v>
      </c>
      <c r="B277" s="13"/>
      <c r="C277" s="14"/>
      <c r="D277" s="13"/>
      <c r="E277" s="15"/>
      <c r="F277" s="13"/>
      <c r="G277" s="13"/>
      <c r="H277" s="13"/>
      <c r="I277" s="13"/>
      <c r="J277" s="12">
        <f>IF(B277="",IF(AND(A277="Plus one",K277&lt;&gt;""),"↳ Plus one of "&amp;K277&amp;" (name TBC)",""),IF(A277="Plus one",IF(C277&lt;&gt;"","Leave party size empty",IF(K277="","Put it under a main guest","↳ Plus one of "&amp;K277)),IF(C277="","Add a party size",IF(COUNTIFS($K$4:$K$403,B277,$A$4:$A$403,"Plus one")&gt;C277-1,"More plus ones than party size",IF(AND(OR(D277="WhatsApp",D277="Both"),E277=""),"Add a phone number",IF(AND(OR(D277="Email",D277="Both"),F277=""),"Add an email",IF(AND(F277&lt;&gt;"",ISERROR(SEARCH("@",F277))),"Check the email","✓ Ready")))))))</f>
      </c>
      <c r="K277">
        <f>IF(A277="Plus one",K276,B277)</f>
      </c>
    </row>
    <row r="278" spans="1:11" x14ac:dyDescent="0.25">
      <c r="A278" s="16" t="s">
        <v>22</v>
      </c>
      <c r="B278" s="16"/>
      <c r="C278" s="17"/>
      <c r="D278" s="16"/>
      <c r="E278" s="18"/>
      <c r="F278" s="16"/>
      <c r="G278" s="16"/>
      <c r="H278" s="16"/>
      <c r="I278" s="16"/>
      <c r="J278" s="8">
        <f>IF(B278="",IF(AND(A278="Plus one",K278&lt;&gt;""),"↳ Plus one of "&amp;K278&amp;" (name TBC)",""),IF(A278="Plus one",IF(C278&lt;&gt;"","Leave party size empty",IF(K278="","Put it under a main guest","↳ Plus one of "&amp;K278)),IF(C278="","Add a party size",IF(COUNTIFS($K$4:$K$403,B278,$A$4:$A$403,"Plus one")&gt;C278-1,"More plus ones than party size",IF(AND(OR(D278="WhatsApp",D278="Both"),E278=""),"Add a phone number",IF(AND(OR(D278="Email",D278="Both"),F278=""),"Add an email",IF(AND(F278&lt;&gt;"",ISERROR(SEARCH("@",F278))),"Check the email","✓ Ready")))))))</f>
      </c>
      <c r="K278">
        <f>IF(A278="Plus one",K277,B278)</f>
      </c>
    </row>
    <row r="279" spans="1:11" x14ac:dyDescent="0.25">
      <c r="A279" s="13" t="s">
        <v>22</v>
      </c>
      <c r="B279" s="13"/>
      <c r="C279" s="14"/>
      <c r="D279" s="13"/>
      <c r="E279" s="15"/>
      <c r="F279" s="13"/>
      <c r="G279" s="13"/>
      <c r="H279" s="13"/>
      <c r="I279" s="13"/>
      <c r="J279" s="12">
        <f>IF(B279="",IF(AND(A279="Plus one",K279&lt;&gt;""),"↳ Plus one of "&amp;K279&amp;" (name TBC)",""),IF(A279="Plus one",IF(C279&lt;&gt;"","Leave party size empty",IF(K279="","Put it under a main guest","↳ Plus one of "&amp;K279)),IF(C279="","Add a party size",IF(COUNTIFS($K$4:$K$403,B279,$A$4:$A$403,"Plus one")&gt;C279-1,"More plus ones than party size",IF(AND(OR(D279="WhatsApp",D279="Both"),E279=""),"Add a phone number",IF(AND(OR(D279="Email",D279="Both"),F279=""),"Add an email",IF(AND(F279&lt;&gt;"",ISERROR(SEARCH("@",F279))),"Check the email","✓ Ready")))))))</f>
      </c>
      <c r="K279">
        <f>IF(A279="Plus one",K278,B279)</f>
      </c>
    </row>
    <row r="280" spans="1:11" x14ac:dyDescent="0.25">
      <c r="A280" s="16" t="s">
        <v>22</v>
      </c>
      <c r="B280" s="16"/>
      <c r="C280" s="17"/>
      <c r="D280" s="16"/>
      <c r="E280" s="18"/>
      <c r="F280" s="16"/>
      <c r="G280" s="16"/>
      <c r="H280" s="16"/>
      <c r="I280" s="16"/>
      <c r="J280" s="8">
        <f>IF(B280="",IF(AND(A280="Plus one",K280&lt;&gt;""),"↳ Plus one of "&amp;K280&amp;" (name TBC)",""),IF(A280="Plus one",IF(C280&lt;&gt;"","Leave party size empty",IF(K280="","Put it under a main guest","↳ Plus one of "&amp;K280)),IF(C280="","Add a party size",IF(COUNTIFS($K$4:$K$403,B280,$A$4:$A$403,"Plus one")&gt;C280-1,"More plus ones than party size",IF(AND(OR(D280="WhatsApp",D280="Both"),E280=""),"Add a phone number",IF(AND(OR(D280="Email",D280="Both"),F280=""),"Add an email",IF(AND(F280&lt;&gt;"",ISERROR(SEARCH("@",F280))),"Check the email","✓ Ready")))))))</f>
      </c>
      <c r="K280">
        <f>IF(A280="Plus one",K279,B280)</f>
      </c>
    </row>
    <row r="281" spans="1:11" x14ac:dyDescent="0.25">
      <c r="A281" s="13" t="s">
        <v>22</v>
      </c>
      <c r="B281" s="13"/>
      <c r="C281" s="14"/>
      <c r="D281" s="13"/>
      <c r="E281" s="15"/>
      <c r="F281" s="13"/>
      <c r="G281" s="13"/>
      <c r="H281" s="13"/>
      <c r="I281" s="13"/>
      <c r="J281" s="12">
        <f>IF(B281="",IF(AND(A281="Plus one",K281&lt;&gt;""),"↳ Plus one of "&amp;K281&amp;" (name TBC)",""),IF(A281="Plus one",IF(C281&lt;&gt;"","Leave party size empty",IF(K281="","Put it under a main guest","↳ Plus one of "&amp;K281)),IF(C281="","Add a party size",IF(COUNTIFS($K$4:$K$403,B281,$A$4:$A$403,"Plus one")&gt;C281-1,"More plus ones than party size",IF(AND(OR(D281="WhatsApp",D281="Both"),E281=""),"Add a phone number",IF(AND(OR(D281="Email",D281="Both"),F281=""),"Add an email",IF(AND(F281&lt;&gt;"",ISERROR(SEARCH("@",F281))),"Check the email","✓ Ready")))))))</f>
      </c>
      <c r="K281">
        <f>IF(A281="Plus one",K280,B281)</f>
      </c>
    </row>
    <row r="282" spans="1:11" x14ac:dyDescent="0.25">
      <c r="A282" s="16" t="s">
        <v>22</v>
      </c>
      <c r="B282" s="16"/>
      <c r="C282" s="17"/>
      <c r="D282" s="16"/>
      <c r="E282" s="18"/>
      <c r="F282" s="16"/>
      <c r="G282" s="16"/>
      <c r="H282" s="16"/>
      <c r="I282" s="16"/>
      <c r="J282" s="8">
        <f>IF(B282="",IF(AND(A282="Plus one",K282&lt;&gt;""),"↳ Plus one of "&amp;K282&amp;" (name TBC)",""),IF(A282="Plus one",IF(C282&lt;&gt;"","Leave party size empty",IF(K282="","Put it under a main guest","↳ Plus one of "&amp;K282)),IF(C282="","Add a party size",IF(COUNTIFS($K$4:$K$403,B282,$A$4:$A$403,"Plus one")&gt;C282-1,"More plus ones than party size",IF(AND(OR(D282="WhatsApp",D282="Both"),E282=""),"Add a phone number",IF(AND(OR(D282="Email",D282="Both"),F282=""),"Add an email",IF(AND(F282&lt;&gt;"",ISERROR(SEARCH("@",F282))),"Check the email","✓ Ready")))))))</f>
      </c>
      <c r="K282">
        <f>IF(A282="Plus one",K281,B282)</f>
      </c>
    </row>
    <row r="283" spans="1:11" x14ac:dyDescent="0.25">
      <c r="A283" s="13" t="s">
        <v>22</v>
      </c>
      <c r="B283" s="13"/>
      <c r="C283" s="14"/>
      <c r="D283" s="13"/>
      <c r="E283" s="15"/>
      <c r="F283" s="13"/>
      <c r="G283" s="13"/>
      <c r="H283" s="13"/>
      <c r="I283" s="13"/>
      <c r="J283" s="12">
        <f>IF(B283="",IF(AND(A283="Plus one",K283&lt;&gt;""),"↳ Plus one of "&amp;K283&amp;" (name TBC)",""),IF(A283="Plus one",IF(C283&lt;&gt;"","Leave party size empty",IF(K283="","Put it under a main guest","↳ Plus one of "&amp;K283)),IF(C283="","Add a party size",IF(COUNTIFS($K$4:$K$403,B283,$A$4:$A$403,"Plus one")&gt;C283-1,"More plus ones than party size",IF(AND(OR(D283="WhatsApp",D283="Both"),E283=""),"Add a phone number",IF(AND(OR(D283="Email",D283="Both"),F283=""),"Add an email",IF(AND(F283&lt;&gt;"",ISERROR(SEARCH("@",F283))),"Check the email","✓ Ready")))))))</f>
      </c>
      <c r="K283">
        <f>IF(A283="Plus one",K282,B283)</f>
      </c>
    </row>
    <row r="284" spans="1:11" x14ac:dyDescent="0.25">
      <c r="A284" s="16" t="s">
        <v>22</v>
      </c>
      <c r="B284" s="16"/>
      <c r="C284" s="17"/>
      <c r="D284" s="16"/>
      <c r="E284" s="18"/>
      <c r="F284" s="16"/>
      <c r="G284" s="16"/>
      <c r="H284" s="16"/>
      <c r="I284" s="16"/>
      <c r="J284" s="8">
        <f>IF(B284="",IF(AND(A284="Plus one",K284&lt;&gt;""),"↳ Plus one of "&amp;K284&amp;" (name TBC)",""),IF(A284="Plus one",IF(C284&lt;&gt;"","Leave party size empty",IF(K284="","Put it under a main guest","↳ Plus one of "&amp;K284)),IF(C284="","Add a party size",IF(COUNTIFS($K$4:$K$403,B284,$A$4:$A$403,"Plus one")&gt;C284-1,"More plus ones than party size",IF(AND(OR(D284="WhatsApp",D284="Both"),E284=""),"Add a phone number",IF(AND(OR(D284="Email",D284="Both"),F284=""),"Add an email",IF(AND(F284&lt;&gt;"",ISERROR(SEARCH("@",F284))),"Check the email","✓ Ready")))))))</f>
      </c>
      <c r="K284">
        <f>IF(A284="Plus one",K283,B284)</f>
      </c>
    </row>
    <row r="285" spans="1:11" x14ac:dyDescent="0.25">
      <c r="A285" s="13" t="s">
        <v>22</v>
      </c>
      <c r="B285" s="13"/>
      <c r="C285" s="14"/>
      <c r="D285" s="13"/>
      <c r="E285" s="15"/>
      <c r="F285" s="13"/>
      <c r="G285" s="13"/>
      <c r="H285" s="13"/>
      <c r="I285" s="13"/>
      <c r="J285" s="12">
        <f>IF(B285="",IF(AND(A285="Plus one",K285&lt;&gt;""),"↳ Plus one of "&amp;K285&amp;" (name TBC)",""),IF(A285="Plus one",IF(C285&lt;&gt;"","Leave party size empty",IF(K285="","Put it under a main guest","↳ Plus one of "&amp;K285)),IF(C285="","Add a party size",IF(COUNTIFS($K$4:$K$403,B285,$A$4:$A$403,"Plus one")&gt;C285-1,"More plus ones than party size",IF(AND(OR(D285="WhatsApp",D285="Both"),E285=""),"Add a phone number",IF(AND(OR(D285="Email",D285="Both"),F285=""),"Add an email",IF(AND(F285&lt;&gt;"",ISERROR(SEARCH("@",F285))),"Check the email","✓ Ready")))))))</f>
      </c>
      <c r="K285">
        <f>IF(A285="Plus one",K284,B285)</f>
      </c>
    </row>
    <row r="286" spans="1:11" x14ac:dyDescent="0.25">
      <c r="A286" s="16" t="s">
        <v>22</v>
      </c>
      <c r="B286" s="16"/>
      <c r="C286" s="17"/>
      <c r="D286" s="16"/>
      <c r="E286" s="18"/>
      <c r="F286" s="16"/>
      <c r="G286" s="16"/>
      <c r="H286" s="16"/>
      <c r="I286" s="16"/>
      <c r="J286" s="8">
        <f>IF(B286="",IF(AND(A286="Plus one",K286&lt;&gt;""),"↳ Plus one of "&amp;K286&amp;" (name TBC)",""),IF(A286="Plus one",IF(C286&lt;&gt;"","Leave party size empty",IF(K286="","Put it under a main guest","↳ Plus one of "&amp;K286)),IF(C286="","Add a party size",IF(COUNTIFS($K$4:$K$403,B286,$A$4:$A$403,"Plus one")&gt;C286-1,"More plus ones than party size",IF(AND(OR(D286="WhatsApp",D286="Both"),E286=""),"Add a phone number",IF(AND(OR(D286="Email",D286="Both"),F286=""),"Add an email",IF(AND(F286&lt;&gt;"",ISERROR(SEARCH("@",F286))),"Check the email","✓ Ready")))))))</f>
      </c>
      <c r="K286">
        <f>IF(A286="Plus one",K285,B286)</f>
      </c>
    </row>
    <row r="287" spans="1:11" x14ac:dyDescent="0.25">
      <c r="A287" s="13" t="s">
        <v>22</v>
      </c>
      <c r="B287" s="13"/>
      <c r="C287" s="14"/>
      <c r="D287" s="13"/>
      <c r="E287" s="15"/>
      <c r="F287" s="13"/>
      <c r="G287" s="13"/>
      <c r="H287" s="13"/>
      <c r="I287" s="13"/>
      <c r="J287" s="12">
        <f>IF(B287="",IF(AND(A287="Plus one",K287&lt;&gt;""),"↳ Plus one of "&amp;K287&amp;" (name TBC)",""),IF(A287="Plus one",IF(C287&lt;&gt;"","Leave party size empty",IF(K287="","Put it under a main guest","↳ Plus one of "&amp;K287)),IF(C287="","Add a party size",IF(COUNTIFS($K$4:$K$403,B287,$A$4:$A$403,"Plus one")&gt;C287-1,"More plus ones than party size",IF(AND(OR(D287="WhatsApp",D287="Both"),E287=""),"Add a phone number",IF(AND(OR(D287="Email",D287="Both"),F287=""),"Add an email",IF(AND(F287&lt;&gt;"",ISERROR(SEARCH("@",F287))),"Check the email","✓ Ready")))))))</f>
      </c>
      <c r="K287">
        <f>IF(A287="Plus one",K286,B287)</f>
      </c>
    </row>
    <row r="288" spans="1:11" x14ac:dyDescent="0.25">
      <c r="A288" s="16" t="s">
        <v>22</v>
      </c>
      <c r="B288" s="16"/>
      <c r="C288" s="17"/>
      <c r="D288" s="16"/>
      <c r="E288" s="18"/>
      <c r="F288" s="16"/>
      <c r="G288" s="16"/>
      <c r="H288" s="16"/>
      <c r="I288" s="16"/>
      <c r="J288" s="8">
        <f>IF(B288="",IF(AND(A288="Plus one",K288&lt;&gt;""),"↳ Plus one of "&amp;K288&amp;" (name TBC)",""),IF(A288="Plus one",IF(C288&lt;&gt;"","Leave party size empty",IF(K288="","Put it under a main guest","↳ Plus one of "&amp;K288)),IF(C288="","Add a party size",IF(COUNTIFS($K$4:$K$403,B288,$A$4:$A$403,"Plus one")&gt;C288-1,"More plus ones than party size",IF(AND(OR(D288="WhatsApp",D288="Both"),E288=""),"Add a phone number",IF(AND(OR(D288="Email",D288="Both"),F288=""),"Add an email",IF(AND(F288&lt;&gt;"",ISERROR(SEARCH("@",F288))),"Check the email","✓ Ready")))))))</f>
      </c>
      <c r="K288">
        <f>IF(A288="Plus one",K287,B288)</f>
      </c>
    </row>
    <row r="289" spans="1:11" x14ac:dyDescent="0.25">
      <c r="A289" s="13" t="s">
        <v>22</v>
      </c>
      <c r="B289" s="13"/>
      <c r="C289" s="14"/>
      <c r="D289" s="13"/>
      <c r="E289" s="15"/>
      <c r="F289" s="13"/>
      <c r="G289" s="13"/>
      <c r="H289" s="13"/>
      <c r="I289" s="13"/>
      <c r="J289" s="12">
        <f>IF(B289="",IF(AND(A289="Plus one",K289&lt;&gt;""),"↳ Plus one of "&amp;K289&amp;" (name TBC)",""),IF(A289="Plus one",IF(C289&lt;&gt;"","Leave party size empty",IF(K289="","Put it under a main guest","↳ Plus one of "&amp;K289)),IF(C289="","Add a party size",IF(COUNTIFS($K$4:$K$403,B289,$A$4:$A$403,"Plus one")&gt;C289-1,"More plus ones than party size",IF(AND(OR(D289="WhatsApp",D289="Both"),E289=""),"Add a phone number",IF(AND(OR(D289="Email",D289="Both"),F289=""),"Add an email",IF(AND(F289&lt;&gt;"",ISERROR(SEARCH("@",F289))),"Check the email","✓ Ready")))))))</f>
      </c>
      <c r="K289">
        <f>IF(A289="Plus one",K288,B289)</f>
      </c>
    </row>
    <row r="290" spans="1:11" x14ac:dyDescent="0.25">
      <c r="A290" s="16" t="s">
        <v>22</v>
      </c>
      <c r="B290" s="16"/>
      <c r="C290" s="17"/>
      <c r="D290" s="16"/>
      <c r="E290" s="18"/>
      <c r="F290" s="16"/>
      <c r="G290" s="16"/>
      <c r="H290" s="16"/>
      <c r="I290" s="16"/>
      <c r="J290" s="8">
        <f>IF(B290="",IF(AND(A290="Plus one",K290&lt;&gt;""),"↳ Plus one of "&amp;K290&amp;" (name TBC)",""),IF(A290="Plus one",IF(C290&lt;&gt;"","Leave party size empty",IF(K290="","Put it under a main guest","↳ Plus one of "&amp;K290)),IF(C290="","Add a party size",IF(COUNTIFS($K$4:$K$403,B290,$A$4:$A$403,"Plus one")&gt;C290-1,"More plus ones than party size",IF(AND(OR(D290="WhatsApp",D290="Both"),E290=""),"Add a phone number",IF(AND(OR(D290="Email",D290="Both"),F290=""),"Add an email",IF(AND(F290&lt;&gt;"",ISERROR(SEARCH("@",F290))),"Check the email","✓ Ready")))))))</f>
      </c>
      <c r="K290">
        <f>IF(A290="Plus one",K289,B290)</f>
      </c>
    </row>
    <row r="291" spans="1:11" x14ac:dyDescent="0.25">
      <c r="A291" s="13" t="s">
        <v>22</v>
      </c>
      <c r="B291" s="13"/>
      <c r="C291" s="14"/>
      <c r="D291" s="13"/>
      <c r="E291" s="15"/>
      <c r="F291" s="13"/>
      <c r="G291" s="13"/>
      <c r="H291" s="13"/>
      <c r="I291" s="13"/>
      <c r="J291" s="12">
        <f>IF(B291="",IF(AND(A291="Plus one",K291&lt;&gt;""),"↳ Plus one of "&amp;K291&amp;" (name TBC)",""),IF(A291="Plus one",IF(C291&lt;&gt;"","Leave party size empty",IF(K291="","Put it under a main guest","↳ Plus one of "&amp;K291)),IF(C291="","Add a party size",IF(COUNTIFS($K$4:$K$403,B291,$A$4:$A$403,"Plus one")&gt;C291-1,"More plus ones than party size",IF(AND(OR(D291="WhatsApp",D291="Both"),E291=""),"Add a phone number",IF(AND(OR(D291="Email",D291="Both"),F291=""),"Add an email",IF(AND(F291&lt;&gt;"",ISERROR(SEARCH("@",F291))),"Check the email","✓ Ready")))))))</f>
      </c>
      <c r="K291">
        <f>IF(A291="Plus one",K290,B291)</f>
      </c>
    </row>
    <row r="292" spans="1:11" x14ac:dyDescent="0.25">
      <c r="A292" s="16" t="s">
        <v>22</v>
      </c>
      <c r="B292" s="16"/>
      <c r="C292" s="17"/>
      <c r="D292" s="16"/>
      <c r="E292" s="18"/>
      <c r="F292" s="16"/>
      <c r="G292" s="16"/>
      <c r="H292" s="16"/>
      <c r="I292" s="16"/>
      <c r="J292" s="8">
        <f>IF(B292="",IF(AND(A292="Plus one",K292&lt;&gt;""),"↳ Plus one of "&amp;K292&amp;" (name TBC)",""),IF(A292="Plus one",IF(C292&lt;&gt;"","Leave party size empty",IF(K292="","Put it under a main guest","↳ Plus one of "&amp;K292)),IF(C292="","Add a party size",IF(COUNTIFS($K$4:$K$403,B292,$A$4:$A$403,"Plus one")&gt;C292-1,"More plus ones than party size",IF(AND(OR(D292="WhatsApp",D292="Both"),E292=""),"Add a phone number",IF(AND(OR(D292="Email",D292="Both"),F292=""),"Add an email",IF(AND(F292&lt;&gt;"",ISERROR(SEARCH("@",F292))),"Check the email","✓ Ready")))))))</f>
      </c>
      <c r="K292">
        <f>IF(A292="Plus one",K291,B292)</f>
      </c>
    </row>
    <row r="293" spans="1:11" x14ac:dyDescent="0.25">
      <c r="A293" s="13" t="s">
        <v>22</v>
      </c>
      <c r="B293" s="13"/>
      <c r="C293" s="14"/>
      <c r="D293" s="13"/>
      <c r="E293" s="15"/>
      <c r="F293" s="13"/>
      <c r="G293" s="13"/>
      <c r="H293" s="13"/>
      <c r="I293" s="13"/>
      <c r="J293" s="12">
        <f>IF(B293="",IF(AND(A293="Plus one",K293&lt;&gt;""),"↳ Plus one of "&amp;K293&amp;" (name TBC)",""),IF(A293="Plus one",IF(C293&lt;&gt;"","Leave party size empty",IF(K293="","Put it under a main guest","↳ Plus one of "&amp;K293)),IF(C293="","Add a party size",IF(COUNTIFS($K$4:$K$403,B293,$A$4:$A$403,"Plus one")&gt;C293-1,"More plus ones than party size",IF(AND(OR(D293="WhatsApp",D293="Both"),E293=""),"Add a phone number",IF(AND(OR(D293="Email",D293="Both"),F293=""),"Add an email",IF(AND(F293&lt;&gt;"",ISERROR(SEARCH("@",F293))),"Check the email","✓ Ready")))))))</f>
      </c>
      <c r="K293">
        <f>IF(A293="Plus one",K292,B293)</f>
      </c>
    </row>
    <row r="294" spans="1:11" x14ac:dyDescent="0.25">
      <c r="A294" s="16" t="s">
        <v>22</v>
      </c>
      <c r="B294" s="16"/>
      <c r="C294" s="17"/>
      <c r="D294" s="16"/>
      <c r="E294" s="18"/>
      <c r="F294" s="16"/>
      <c r="G294" s="16"/>
      <c r="H294" s="16"/>
      <c r="I294" s="16"/>
      <c r="J294" s="8">
        <f>IF(B294="",IF(AND(A294="Plus one",K294&lt;&gt;""),"↳ Plus one of "&amp;K294&amp;" (name TBC)",""),IF(A294="Plus one",IF(C294&lt;&gt;"","Leave party size empty",IF(K294="","Put it under a main guest","↳ Plus one of "&amp;K294)),IF(C294="","Add a party size",IF(COUNTIFS($K$4:$K$403,B294,$A$4:$A$403,"Plus one")&gt;C294-1,"More plus ones than party size",IF(AND(OR(D294="WhatsApp",D294="Both"),E294=""),"Add a phone number",IF(AND(OR(D294="Email",D294="Both"),F294=""),"Add an email",IF(AND(F294&lt;&gt;"",ISERROR(SEARCH("@",F294))),"Check the email","✓ Ready")))))))</f>
      </c>
      <c r="K294">
        <f>IF(A294="Plus one",K293,B294)</f>
      </c>
    </row>
    <row r="295" spans="1:11" x14ac:dyDescent="0.25">
      <c r="A295" s="13" t="s">
        <v>22</v>
      </c>
      <c r="B295" s="13"/>
      <c r="C295" s="14"/>
      <c r="D295" s="13"/>
      <c r="E295" s="15"/>
      <c r="F295" s="13"/>
      <c r="G295" s="13"/>
      <c r="H295" s="13"/>
      <c r="I295" s="13"/>
      <c r="J295" s="12">
        <f>IF(B295="",IF(AND(A295="Plus one",K295&lt;&gt;""),"↳ Plus one of "&amp;K295&amp;" (name TBC)",""),IF(A295="Plus one",IF(C295&lt;&gt;"","Leave party size empty",IF(K295="","Put it under a main guest","↳ Plus one of "&amp;K295)),IF(C295="","Add a party size",IF(COUNTIFS($K$4:$K$403,B295,$A$4:$A$403,"Plus one")&gt;C295-1,"More plus ones than party size",IF(AND(OR(D295="WhatsApp",D295="Both"),E295=""),"Add a phone number",IF(AND(OR(D295="Email",D295="Both"),F295=""),"Add an email",IF(AND(F295&lt;&gt;"",ISERROR(SEARCH("@",F295))),"Check the email","✓ Ready")))))))</f>
      </c>
      <c r="K295">
        <f>IF(A295="Plus one",K294,B295)</f>
      </c>
    </row>
    <row r="296" spans="1:11" x14ac:dyDescent="0.25">
      <c r="A296" s="16" t="s">
        <v>22</v>
      </c>
      <c r="B296" s="16"/>
      <c r="C296" s="17"/>
      <c r="D296" s="16"/>
      <c r="E296" s="18"/>
      <c r="F296" s="16"/>
      <c r="G296" s="16"/>
      <c r="H296" s="16"/>
      <c r="I296" s="16"/>
      <c r="J296" s="8">
        <f>IF(B296="",IF(AND(A296="Plus one",K296&lt;&gt;""),"↳ Plus one of "&amp;K296&amp;" (name TBC)",""),IF(A296="Plus one",IF(C296&lt;&gt;"","Leave party size empty",IF(K296="","Put it under a main guest","↳ Plus one of "&amp;K296)),IF(C296="","Add a party size",IF(COUNTIFS($K$4:$K$403,B296,$A$4:$A$403,"Plus one")&gt;C296-1,"More plus ones than party size",IF(AND(OR(D296="WhatsApp",D296="Both"),E296=""),"Add a phone number",IF(AND(OR(D296="Email",D296="Both"),F296=""),"Add an email",IF(AND(F296&lt;&gt;"",ISERROR(SEARCH("@",F296))),"Check the email","✓ Ready")))))))</f>
      </c>
      <c r="K296">
        <f>IF(A296="Plus one",K295,B296)</f>
      </c>
    </row>
    <row r="297" spans="1:11" x14ac:dyDescent="0.25">
      <c r="A297" s="13" t="s">
        <v>22</v>
      </c>
      <c r="B297" s="13"/>
      <c r="C297" s="14"/>
      <c r="D297" s="13"/>
      <c r="E297" s="15"/>
      <c r="F297" s="13"/>
      <c r="G297" s="13"/>
      <c r="H297" s="13"/>
      <c r="I297" s="13"/>
      <c r="J297" s="12">
        <f>IF(B297="",IF(AND(A297="Plus one",K297&lt;&gt;""),"↳ Plus one of "&amp;K297&amp;" (name TBC)",""),IF(A297="Plus one",IF(C297&lt;&gt;"","Leave party size empty",IF(K297="","Put it under a main guest","↳ Plus one of "&amp;K297)),IF(C297="","Add a party size",IF(COUNTIFS($K$4:$K$403,B297,$A$4:$A$403,"Plus one")&gt;C297-1,"More plus ones than party size",IF(AND(OR(D297="WhatsApp",D297="Both"),E297=""),"Add a phone number",IF(AND(OR(D297="Email",D297="Both"),F297=""),"Add an email",IF(AND(F297&lt;&gt;"",ISERROR(SEARCH("@",F297))),"Check the email","✓ Ready")))))))</f>
      </c>
      <c r="K297">
        <f>IF(A297="Plus one",K296,B297)</f>
      </c>
    </row>
    <row r="298" spans="1:11" x14ac:dyDescent="0.25">
      <c r="A298" s="16" t="s">
        <v>22</v>
      </c>
      <c r="B298" s="16"/>
      <c r="C298" s="17"/>
      <c r="D298" s="16"/>
      <c r="E298" s="18"/>
      <c r="F298" s="16"/>
      <c r="G298" s="16"/>
      <c r="H298" s="16"/>
      <c r="I298" s="16"/>
      <c r="J298" s="8">
        <f>IF(B298="",IF(AND(A298="Plus one",K298&lt;&gt;""),"↳ Plus one of "&amp;K298&amp;" (name TBC)",""),IF(A298="Plus one",IF(C298&lt;&gt;"","Leave party size empty",IF(K298="","Put it under a main guest","↳ Plus one of "&amp;K298)),IF(C298="","Add a party size",IF(COUNTIFS($K$4:$K$403,B298,$A$4:$A$403,"Plus one")&gt;C298-1,"More plus ones than party size",IF(AND(OR(D298="WhatsApp",D298="Both"),E298=""),"Add a phone number",IF(AND(OR(D298="Email",D298="Both"),F298=""),"Add an email",IF(AND(F298&lt;&gt;"",ISERROR(SEARCH("@",F298))),"Check the email","✓ Ready")))))))</f>
      </c>
      <c r="K298">
        <f>IF(A298="Plus one",K297,B298)</f>
      </c>
    </row>
    <row r="299" spans="1:11" x14ac:dyDescent="0.25">
      <c r="A299" s="13" t="s">
        <v>22</v>
      </c>
      <c r="B299" s="13"/>
      <c r="C299" s="14"/>
      <c r="D299" s="13"/>
      <c r="E299" s="15"/>
      <c r="F299" s="13"/>
      <c r="G299" s="13"/>
      <c r="H299" s="13"/>
      <c r="I299" s="13"/>
      <c r="J299" s="12">
        <f>IF(B299="",IF(AND(A299="Plus one",K299&lt;&gt;""),"↳ Plus one of "&amp;K299&amp;" (name TBC)",""),IF(A299="Plus one",IF(C299&lt;&gt;"","Leave party size empty",IF(K299="","Put it under a main guest","↳ Plus one of "&amp;K299)),IF(C299="","Add a party size",IF(COUNTIFS($K$4:$K$403,B299,$A$4:$A$403,"Plus one")&gt;C299-1,"More plus ones than party size",IF(AND(OR(D299="WhatsApp",D299="Both"),E299=""),"Add a phone number",IF(AND(OR(D299="Email",D299="Both"),F299=""),"Add an email",IF(AND(F299&lt;&gt;"",ISERROR(SEARCH("@",F299))),"Check the email","✓ Ready")))))))</f>
      </c>
      <c r="K299">
        <f>IF(A299="Plus one",K298,B299)</f>
      </c>
    </row>
    <row r="300" spans="1:11" x14ac:dyDescent="0.25">
      <c r="A300" s="16" t="s">
        <v>22</v>
      </c>
      <c r="B300" s="16"/>
      <c r="C300" s="17"/>
      <c r="D300" s="16"/>
      <c r="E300" s="18"/>
      <c r="F300" s="16"/>
      <c r="G300" s="16"/>
      <c r="H300" s="16"/>
      <c r="I300" s="16"/>
      <c r="J300" s="8">
        <f>IF(B300="",IF(AND(A300="Plus one",K300&lt;&gt;""),"↳ Plus one of "&amp;K300&amp;" (name TBC)",""),IF(A300="Plus one",IF(C300&lt;&gt;"","Leave party size empty",IF(K300="","Put it under a main guest","↳ Plus one of "&amp;K300)),IF(C300="","Add a party size",IF(COUNTIFS($K$4:$K$403,B300,$A$4:$A$403,"Plus one")&gt;C300-1,"More plus ones than party size",IF(AND(OR(D300="WhatsApp",D300="Both"),E300=""),"Add a phone number",IF(AND(OR(D300="Email",D300="Both"),F300=""),"Add an email",IF(AND(F300&lt;&gt;"",ISERROR(SEARCH("@",F300))),"Check the email","✓ Ready")))))))</f>
      </c>
      <c r="K300">
        <f>IF(A300="Plus one",K299,B300)</f>
      </c>
    </row>
    <row r="301" spans="1:11" x14ac:dyDescent="0.25">
      <c r="A301" s="13" t="s">
        <v>22</v>
      </c>
      <c r="B301" s="13"/>
      <c r="C301" s="14"/>
      <c r="D301" s="13"/>
      <c r="E301" s="15"/>
      <c r="F301" s="13"/>
      <c r="G301" s="13"/>
      <c r="H301" s="13"/>
      <c r="I301" s="13"/>
      <c r="J301" s="12">
        <f>IF(B301="",IF(AND(A301="Plus one",K301&lt;&gt;""),"↳ Plus one of "&amp;K301&amp;" (name TBC)",""),IF(A301="Plus one",IF(C301&lt;&gt;"","Leave party size empty",IF(K301="","Put it under a main guest","↳ Plus one of "&amp;K301)),IF(C301="","Add a party size",IF(COUNTIFS($K$4:$K$403,B301,$A$4:$A$403,"Plus one")&gt;C301-1,"More plus ones than party size",IF(AND(OR(D301="WhatsApp",D301="Both"),E301=""),"Add a phone number",IF(AND(OR(D301="Email",D301="Both"),F301=""),"Add an email",IF(AND(F301&lt;&gt;"",ISERROR(SEARCH("@",F301))),"Check the email","✓ Ready")))))))</f>
      </c>
      <c r="K301">
        <f>IF(A301="Plus one",K300,B301)</f>
      </c>
    </row>
    <row r="302" spans="1:11" x14ac:dyDescent="0.25">
      <c r="A302" s="16" t="s">
        <v>22</v>
      </c>
      <c r="B302" s="16"/>
      <c r="C302" s="17"/>
      <c r="D302" s="16"/>
      <c r="E302" s="18"/>
      <c r="F302" s="16"/>
      <c r="G302" s="16"/>
      <c r="H302" s="16"/>
      <c r="I302" s="16"/>
      <c r="J302" s="8">
        <f>IF(B302="",IF(AND(A302="Plus one",K302&lt;&gt;""),"↳ Plus one of "&amp;K302&amp;" (name TBC)",""),IF(A302="Plus one",IF(C302&lt;&gt;"","Leave party size empty",IF(K302="","Put it under a main guest","↳ Plus one of "&amp;K302)),IF(C302="","Add a party size",IF(COUNTIFS($K$4:$K$403,B302,$A$4:$A$403,"Plus one")&gt;C302-1,"More plus ones than party size",IF(AND(OR(D302="WhatsApp",D302="Both"),E302=""),"Add a phone number",IF(AND(OR(D302="Email",D302="Both"),F302=""),"Add an email",IF(AND(F302&lt;&gt;"",ISERROR(SEARCH("@",F302))),"Check the email","✓ Ready")))))))</f>
      </c>
      <c r="K302">
        <f>IF(A302="Plus one",K301,B302)</f>
      </c>
    </row>
    <row r="303" spans="1:11" x14ac:dyDescent="0.25">
      <c r="A303" s="13" t="s">
        <v>22</v>
      </c>
      <c r="B303" s="13"/>
      <c r="C303" s="14"/>
      <c r="D303" s="13"/>
      <c r="E303" s="15"/>
      <c r="F303" s="13"/>
      <c r="G303" s="13"/>
      <c r="H303" s="13"/>
      <c r="I303" s="13"/>
      <c r="J303" s="12">
        <f>IF(B303="",IF(AND(A303="Plus one",K303&lt;&gt;""),"↳ Plus one of "&amp;K303&amp;" (name TBC)",""),IF(A303="Plus one",IF(C303&lt;&gt;"","Leave party size empty",IF(K303="","Put it under a main guest","↳ Plus one of "&amp;K303)),IF(C303="","Add a party size",IF(COUNTIFS($K$4:$K$403,B303,$A$4:$A$403,"Plus one")&gt;C303-1,"More plus ones than party size",IF(AND(OR(D303="WhatsApp",D303="Both"),E303=""),"Add a phone number",IF(AND(OR(D303="Email",D303="Both"),F303=""),"Add an email",IF(AND(F303&lt;&gt;"",ISERROR(SEARCH("@",F303))),"Check the email","✓ Ready")))))))</f>
      </c>
      <c r="K303">
        <f>IF(A303="Plus one",K302,B303)</f>
      </c>
    </row>
    <row r="304" spans="1:11" x14ac:dyDescent="0.25">
      <c r="A304" s="16" t="s">
        <v>22</v>
      </c>
      <c r="B304" s="16"/>
      <c r="C304" s="17"/>
      <c r="D304" s="16"/>
      <c r="E304" s="18"/>
      <c r="F304" s="16"/>
      <c r="G304" s="16"/>
      <c r="H304" s="16"/>
      <c r="I304" s="16"/>
      <c r="J304" s="8">
        <f>IF(B304="",IF(AND(A304="Plus one",K304&lt;&gt;""),"↳ Plus one of "&amp;K304&amp;" (name TBC)",""),IF(A304="Plus one",IF(C304&lt;&gt;"","Leave party size empty",IF(K304="","Put it under a main guest","↳ Plus one of "&amp;K304)),IF(C304="","Add a party size",IF(COUNTIFS($K$4:$K$403,B304,$A$4:$A$403,"Plus one")&gt;C304-1,"More plus ones than party size",IF(AND(OR(D304="WhatsApp",D304="Both"),E304=""),"Add a phone number",IF(AND(OR(D304="Email",D304="Both"),F304=""),"Add an email",IF(AND(F304&lt;&gt;"",ISERROR(SEARCH("@",F304))),"Check the email","✓ Ready")))))))</f>
      </c>
      <c r="K304">
        <f>IF(A304="Plus one",K303,B304)</f>
      </c>
    </row>
    <row r="305" spans="1:11" x14ac:dyDescent="0.25">
      <c r="A305" s="13" t="s">
        <v>22</v>
      </c>
      <c r="B305" s="13"/>
      <c r="C305" s="14"/>
      <c r="D305" s="13"/>
      <c r="E305" s="15"/>
      <c r="F305" s="13"/>
      <c r="G305" s="13"/>
      <c r="H305" s="13"/>
      <c r="I305" s="13"/>
      <c r="J305" s="12">
        <f>IF(B305="",IF(AND(A305="Plus one",K305&lt;&gt;""),"↳ Plus one of "&amp;K305&amp;" (name TBC)",""),IF(A305="Plus one",IF(C305&lt;&gt;"","Leave party size empty",IF(K305="","Put it under a main guest","↳ Plus one of "&amp;K305)),IF(C305="","Add a party size",IF(COUNTIFS($K$4:$K$403,B305,$A$4:$A$403,"Plus one")&gt;C305-1,"More plus ones than party size",IF(AND(OR(D305="WhatsApp",D305="Both"),E305=""),"Add a phone number",IF(AND(OR(D305="Email",D305="Both"),F305=""),"Add an email",IF(AND(F305&lt;&gt;"",ISERROR(SEARCH("@",F305))),"Check the email","✓ Ready")))))))</f>
      </c>
      <c r="K305">
        <f>IF(A305="Plus one",K304,B305)</f>
      </c>
    </row>
    <row r="306" spans="1:11" x14ac:dyDescent="0.25">
      <c r="A306" s="16" t="s">
        <v>22</v>
      </c>
      <c r="B306" s="16"/>
      <c r="C306" s="17"/>
      <c r="D306" s="16"/>
      <c r="E306" s="18"/>
      <c r="F306" s="16"/>
      <c r="G306" s="16"/>
      <c r="H306" s="16"/>
      <c r="I306" s="16"/>
      <c r="J306" s="8">
        <f>IF(B306="",IF(AND(A306="Plus one",K306&lt;&gt;""),"↳ Plus one of "&amp;K306&amp;" (name TBC)",""),IF(A306="Plus one",IF(C306&lt;&gt;"","Leave party size empty",IF(K306="","Put it under a main guest","↳ Plus one of "&amp;K306)),IF(C306="","Add a party size",IF(COUNTIFS($K$4:$K$403,B306,$A$4:$A$403,"Plus one")&gt;C306-1,"More plus ones than party size",IF(AND(OR(D306="WhatsApp",D306="Both"),E306=""),"Add a phone number",IF(AND(OR(D306="Email",D306="Both"),F306=""),"Add an email",IF(AND(F306&lt;&gt;"",ISERROR(SEARCH("@",F306))),"Check the email","✓ Ready")))))))</f>
      </c>
      <c r="K306">
        <f>IF(A306="Plus one",K305,B306)</f>
      </c>
    </row>
    <row r="307" spans="1:11" x14ac:dyDescent="0.25">
      <c r="A307" s="13" t="s">
        <v>22</v>
      </c>
      <c r="B307" s="13"/>
      <c r="C307" s="14"/>
      <c r="D307" s="13"/>
      <c r="E307" s="15"/>
      <c r="F307" s="13"/>
      <c r="G307" s="13"/>
      <c r="H307" s="13"/>
      <c r="I307" s="13"/>
      <c r="J307" s="12">
        <f>IF(B307="",IF(AND(A307="Plus one",K307&lt;&gt;""),"↳ Plus one of "&amp;K307&amp;" (name TBC)",""),IF(A307="Plus one",IF(C307&lt;&gt;"","Leave party size empty",IF(K307="","Put it under a main guest","↳ Plus one of "&amp;K307)),IF(C307="","Add a party size",IF(COUNTIFS($K$4:$K$403,B307,$A$4:$A$403,"Plus one")&gt;C307-1,"More plus ones than party size",IF(AND(OR(D307="WhatsApp",D307="Both"),E307=""),"Add a phone number",IF(AND(OR(D307="Email",D307="Both"),F307=""),"Add an email",IF(AND(F307&lt;&gt;"",ISERROR(SEARCH("@",F307))),"Check the email","✓ Ready")))))))</f>
      </c>
      <c r="K307">
        <f>IF(A307="Plus one",K306,B307)</f>
      </c>
    </row>
    <row r="308" spans="1:11" x14ac:dyDescent="0.25">
      <c r="A308" s="16" t="s">
        <v>22</v>
      </c>
      <c r="B308" s="16"/>
      <c r="C308" s="17"/>
      <c r="D308" s="16"/>
      <c r="E308" s="18"/>
      <c r="F308" s="16"/>
      <c r="G308" s="16"/>
      <c r="H308" s="16"/>
      <c r="I308" s="16"/>
      <c r="J308" s="8">
        <f>IF(B308="",IF(AND(A308="Plus one",K308&lt;&gt;""),"↳ Plus one of "&amp;K308&amp;" (name TBC)",""),IF(A308="Plus one",IF(C308&lt;&gt;"","Leave party size empty",IF(K308="","Put it under a main guest","↳ Plus one of "&amp;K308)),IF(C308="","Add a party size",IF(COUNTIFS($K$4:$K$403,B308,$A$4:$A$403,"Plus one")&gt;C308-1,"More plus ones than party size",IF(AND(OR(D308="WhatsApp",D308="Both"),E308=""),"Add a phone number",IF(AND(OR(D308="Email",D308="Both"),F308=""),"Add an email",IF(AND(F308&lt;&gt;"",ISERROR(SEARCH("@",F308))),"Check the email","✓ Ready")))))))</f>
      </c>
      <c r="K308">
        <f>IF(A308="Plus one",K307,B308)</f>
      </c>
    </row>
    <row r="309" spans="1:11" x14ac:dyDescent="0.25">
      <c r="A309" s="13" t="s">
        <v>22</v>
      </c>
      <c r="B309" s="13"/>
      <c r="C309" s="14"/>
      <c r="D309" s="13"/>
      <c r="E309" s="15"/>
      <c r="F309" s="13"/>
      <c r="G309" s="13"/>
      <c r="H309" s="13"/>
      <c r="I309" s="13"/>
      <c r="J309" s="12">
        <f>IF(B309="",IF(AND(A309="Plus one",K309&lt;&gt;""),"↳ Plus one of "&amp;K309&amp;" (name TBC)",""),IF(A309="Plus one",IF(C309&lt;&gt;"","Leave party size empty",IF(K309="","Put it under a main guest","↳ Plus one of "&amp;K309)),IF(C309="","Add a party size",IF(COUNTIFS($K$4:$K$403,B309,$A$4:$A$403,"Plus one")&gt;C309-1,"More plus ones than party size",IF(AND(OR(D309="WhatsApp",D309="Both"),E309=""),"Add a phone number",IF(AND(OR(D309="Email",D309="Both"),F309=""),"Add an email",IF(AND(F309&lt;&gt;"",ISERROR(SEARCH("@",F309))),"Check the email","✓ Ready")))))))</f>
      </c>
      <c r="K309">
        <f>IF(A309="Plus one",K308,B309)</f>
      </c>
    </row>
    <row r="310" spans="1:11" x14ac:dyDescent="0.25">
      <c r="A310" s="16" t="s">
        <v>22</v>
      </c>
      <c r="B310" s="16"/>
      <c r="C310" s="17"/>
      <c r="D310" s="16"/>
      <c r="E310" s="18"/>
      <c r="F310" s="16"/>
      <c r="G310" s="16"/>
      <c r="H310" s="16"/>
      <c r="I310" s="16"/>
      <c r="J310" s="8">
        <f>IF(B310="",IF(AND(A310="Plus one",K310&lt;&gt;""),"↳ Plus one of "&amp;K310&amp;" (name TBC)",""),IF(A310="Plus one",IF(C310&lt;&gt;"","Leave party size empty",IF(K310="","Put it under a main guest","↳ Plus one of "&amp;K310)),IF(C310="","Add a party size",IF(COUNTIFS($K$4:$K$403,B310,$A$4:$A$403,"Plus one")&gt;C310-1,"More plus ones than party size",IF(AND(OR(D310="WhatsApp",D310="Both"),E310=""),"Add a phone number",IF(AND(OR(D310="Email",D310="Both"),F310=""),"Add an email",IF(AND(F310&lt;&gt;"",ISERROR(SEARCH("@",F310))),"Check the email","✓ Ready")))))))</f>
      </c>
      <c r="K310">
        <f>IF(A310="Plus one",K309,B310)</f>
      </c>
    </row>
    <row r="311" spans="1:11" x14ac:dyDescent="0.25">
      <c r="A311" s="13" t="s">
        <v>22</v>
      </c>
      <c r="B311" s="13"/>
      <c r="C311" s="14"/>
      <c r="D311" s="13"/>
      <c r="E311" s="15"/>
      <c r="F311" s="13"/>
      <c r="G311" s="13"/>
      <c r="H311" s="13"/>
      <c r="I311" s="13"/>
      <c r="J311" s="12">
        <f>IF(B311="",IF(AND(A311="Plus one",K311&lt;&gt;""),"↳ Plus one of "&amp;K311&amp;" (name TBC)",""),IF(A311="Plus one",IF(C311&lt;&gt;"","Leave party size empty",IF(K311="","Put it under a main guest","↳ Plus one of "&amp;K311)),IF(C311="","Add a party size",IF(COUNTIFS($K$4:$K$403,B311,$A$4:$A$403,"Plus one")&gt;C311-1,"More plus ones than party size",IF(AND(OR(D311="WhatsApp",D311="Both"),E311=""),"Add a phone number",IF(AND(OR(D311="Email",D311="Both"),F311=""),"Add an email",IF(AND(F311&lt;&gt;"",ISERROR(SEARCH("@",F311))),"Check the email","✓ Ready")))))))</f>
      </c>
      <c r="K311">
        <f>IF(A311="Plus one",K310,B311)</f>
      </c>
    </row>
    <row r="312" spans="1:11" x14ac:dyDescent="0.25">
      <c r="A312" s="16" t="s">
        <v>22</v>
      </c>
      <c r="B312" s="16"/>
      <c r="C312" s="17"/>
      <c r="D312" s="16"/>
      <c r="E312" s="18"/>
      <c r="F312" s="16"/>
      <c r="G312" s="16"/>
      <c r="H312" s="16"/>
      <c r="I312" s="16"/>
      <c r="J312" s="8">
        <f>IF(B312="",IF(AND(A312="Plus one",K312&lt;&gt;""),"↳ Plus one of "&amp;K312&amp;" (name TBC)",""),IF(A312="Plus one",IF(C312&lt;&gt;"","Leave party size empty",IF(K312="","Put it under a main guest","↳ Plus one of "&amp;K312)),IF(C312="","Add a party size",IF(COUNTIFS($K$4:$K$403,B312,$A$4:$A$403,"Plus one")&gt;C312-1,"More plus ones than party size",IF(AND(OR(D312="WhatsApp",D312="Both"),E312=""),"Add a phone number",IF(AND(OR(D312="Email",D312="Both"),F312=""),"Add an email",IF(AND(F312&lt;&gt;"",ISERROR(SEARCH("@",F312))),"Check the email","✓ Ready")))))))</f>
      </c>
      <c r="K312">
        <f>IF(A312="Plus one",K311,B312)</f>
      </c>
    </row>
    <row r="313" spans="1:11" x14ac:dyDescent="0.25">
      <c r="A313" s="13" t="s">
        <v>22</v>
      </c>
      <c r="B313" s="13"/>
      <c r="C313" s="14"/>
      <c r="D313" s="13"/>
      <c r="E313" s="15"/>
      <c r="F313" s="13"/>
      <c r="G313" s="13"/>
      <c r="H313" s="13"/>
      <c r="I313" s="13"/>
      <c r="J313" s="12">
        <f>IF(B313="",IF(AND(A313="Plus one",K313&lt;&gt;""),"↳ Plus one of "&amp;K313&amp;" (name TBC)",""),IF(A313="Plus one",IF(C313&lt;&gt;"","Leave party size empty",IF(K313="","Put it under a main guest","↳ Plus one of "&amp;K313)),IF(C313="","Add a party size",IF(COUNTIFS($K$4:$K$403,B313,$A$4:$A$403,"Plus one")&gt;C313-1,"More plus ones than party size",IF(AND(OR(D313="WhatsApp",D313="Both"),E313=""),"Add a phone number",IF(AND(OR(D313="Email",D313="Both"),F313=""),"Add an email",IF(AND(F313&lt;&gt;"",ISERROR(SEARCH("@",F313))),"Check the email","✓ Ready")))))))</f>
      </c>
      <c r="K313">
        <f>IF(A313="Plus one",K312,B313)</f>
      </c>
    </row>
    <row r="314" spans="1:11" x14ac:dyDescent="0.25">
      <c r="A314" s="16" t="s">
        <v>22</v>
      </c>
      <c r="B314" s="16"/>
      <c r="C314" s="17"/>
      <c r="D314" s="16"/>
      <c r="E314" s="18"/>
      <c r="F314" s="16"/>
      <c r="G314" s="16"/>
      <c r="H314" s="16"/>
      <c r="I314" s="16"/>
      <c r="J314" s="8">
        <f>IF(B314="",IF(AND(A314="Plus one",K314&lt;&gt;""),"↳ Plus one of "&amp;K314&amp;" (name TBC)",""),IF(A314="Plus one",IF(C314&lt;&gt;"","Leave party size empty",IF(K314="","Put it under a main guest","↳ Plus one of "&amp;K314)),IF(C314="","Add a party size",IF(COUNTIFS($K$4:$K$403,B314,$A$4:$A$403,"Plus one")&gt;C314-1,"More plus ones than party size",IF(AND(OR(D314="WhatsApp",D314="Both"),E314=""),"Add a phone number",IF(AND(OR(D314="Email",D314="Both"),F314=""),"Add an email",IF(AND(F314&lt;&gt;"",ISERROR(SEARCH("@",F314))),"Check the email","✓ Ready")))))))</f>
      </c>
      <c r="K314">
        <f>IF(A314="Plus one",K313,B314)</f>
      </c>
    </row>
    <row r="315" spans="1:11" x14ac:dyDescent="0.25">
      <c r="A315" s="13" t="s">
        <v>22</v>
      </c>
      <c r="B315" s="13"/>
      <c r="C315" s="14"/>
      <c r="D315" s="13"/>
      <c r="E315" s="15"/>
      <c r="F315" s="13"/>
      <c r="G315" s="13"/>
      <c r="H315" s="13"/>
      <c r="I315" s="13"/>
      <c r="J315" s="12">
        <f>IF(B315="",IF(AND(A315="Plus one",K315&lt;&gt;""),"↳ Plus one of "&amp;K315&amp;" (name TBC)",""),IF(A315="Plus one",IF(C315&lt;&gt;"","Leave party size empty",IF(K315="","Put it under a main guest","↳ Plus one of "&amp;K315)),IF(C315="","Add a party size",IF(COUNTIFS($K$4:$K$403,B315,$A$4:$A$403,"Plus one")&gt;C315-1,"More plus ones than party size",IF(AND(OR(D315="WhatsApp",D315="Both"),E315=""),"Add a phone number",IF(AND(OR(D315="Email",D315="Both"),F315=""),"Add an email",IF(AND(F315&lt;&gt;"",ISERROR(SEARCH("@",F315))),"Check the email","✓ Ready")))))))</f>
      </c>
      <c r="K315">
        <f>IF(A315="Plus one",K314,B315)</f>
      </c>
    </row>
    <row r="316" spans="1:11" x14ac:dyDescent="0.25">
      <c r="A316" s="16" t="s">
        <v>22</v>
      </c>
      <c r="B316" s="16"/>
      <c r="C316" s="17"/>
      <c r="D316" s="16"/>
      <c r="E316" s="18"/>
      <c r="F316" s="16"/>
      <c r="G316" s="16"/>
      <c r="H316" s="16"/>
      <c r="I316" s="16"/>
      <c r="J316" s="8">
        <f>IF(B316="",IF(AND(A316="Plus one",K316&lt;&gt;""),"↳ Plus one of "&amp;K316&amp;" (name TBC)",""),IF(A316="Plus one",IF(C316&lt;&gt;"","Leave party size empty",IF(K316="","Put it under a main guest","↳ Plus one of "&amp;K316)),IF(C316="","Add a party size",IF(COUNTIFS($K$4:$K$403,B316,$A$4:$A$403,"Plus one")&gt;C316-1,"More plus ones than party size",IF(AND(OR(D316="WhatsApp",D316="Both"),E316=""),"Add a phone number",IF(AND(OR(D316="Email",D316="Both"),F316=""),"Add an email",IF(AND(F316&lt;&gt;"",ISERROR(SEARCH("@",F316))),"Check the email","✓ Ready")))))))</f>
      </c>
      <c r="K316">
        <f>IF(A316="Plus one",K315,B316)</f>
      </c>
    </row>
    <row r="317" spans="1:11" x14ac:dyDescent="0.25">
      <c r="A317" s="13" t="s">
        <v>22</v>
      </c>
      <c r="B317" s="13"/>
      <c r="C317" s="14"/>
      <c r="D317" s="13"/>
      <c r="E317" s="15"/>
      <c r="F317" s="13"/>
      <c r="G317" s="13"/>
      <c r="H317" s="13"/>
      <c r="I317" s="13"/>
      <c r="J317" s="12">
        <f>IF(B317="",IF(AND(A317="Plus one",K317&lt;&gt;""),"↳ Plus one of "&amp;K317&amp;" (name TBC)",""),IF(A317="Plus one",IF(C317&lt;&gt;"","Leave party size empty",IF(K317="","Put it under a main guest","↳ Plus one of "&amp;K317)),IF(C317="","Add a party size",IF(COUNTIFS($K$4:$K$403,B317,$A$4:$A$403,"Plus one")&gt;C317-1,"More plus ones than party size",IF(AND(OR(D317="WhatsApp",D317="Both"),E317=""),"Add a phone number",IF(AND(OR(D317="Email",D317="Both"),F317=""),"Add an email",IF(AND(F317&lt;&gt;"",ISERROR(SEARCH("@",F317))),"Check the email","✓ Ready")))))))</f>
      </c>
      <c r="K317">
        <f>IF(A317="Plus one",K316,B317)</f>
      </c>
    </row>
    <row r="318" spans="1:11" x14ac:dyDescent="0.25">
      <c r="A318" s="16" t="s">
        <v>22</v>
      </c>
      <c r="B318" s="16"/>
      <c r="C318" s="17"/>
      <c r="D318" s="16"/>
      <c r="E318" s="18"/>
      <c r="F318" s="16"/>
      <c r="G318" s="16"/>
      <c r="H318" s="16"/>
      <c r="I318" s="16"/>
      <c r="J318" s="8">
        <f>IF(B318="",IF(AND(A318="Plus one",K318&lt;&gt;""),"↳ Plus one of "&amp;K318&amp;" (name TBC)",""),IF(A318="Plus one",IF(C318&lt;&gt;"","Leave party size empty",IF(K318="","Put it under a main guest","↳ Plus one of "&amp;K318)),IF(C318="","Add a party size",IF(COUNTIFS($K$4:$K$403,B318,$A$4:$A$403,"Plus one")&gt;C318-1,"More plus ones than party size",IF(AND(OR(D318="WhatsApp",D318="Both"),E318=""),"Add a phone number",IF(AND(OR(D318="Email",D318="Both"),F318=""),"Add an email",IF(AND(F318&lt;&gt;"",ISERROR(SEARCH("@",F318))),"Check the email","✓ Ready")))))))</f>
      </c>
      <c r="K318">
        <f>IF(A318="Plus one",K317,B318)</f>
      </c>
    </row>
    <row r="319" spans="1:11" x14ac:dyDescent="0.25">
      <c r="A319" s="13" t="s">
        <v>22</v>
      </c>
      <c r="B319" s="13"/>
      <c r="C319" s="14"/>
      <c r="D319" s="13"/>
      <c r="E319" s="15"/>
      <c r="F319" s="13"/>
      <c r="G319" s="13"/>
      <c r="H319" s="13"/>
      <c r="I319" s="13"/>
      <c r="J319" s="12">
        <f>IF(B319="",IF(AND(A319="Plus one",K319&lt;&gt;""),"↳ Plus one of "&amp;K319&amp;" (name TBC)",""),IF(A319="Plus one",IF(C319&lt;&gt;"","Leave party size empty",IF(K319="","Put it under a main guest","↳ Plus one of "&amp;K319)),IF(C319="","Add a party size",IF(COUNTIFS($K$4:$K$403,B319,$A$4:$A$403,"Plus one")&gt;C319-1,"More plus ones than party size",IF(AND(OR(D319="WhatsApp",D319="Both"),E319=""),"Add a phone number",IF(AND(OR(D319="Email",D319="Both"),F319=""),"Add an email",IF(AND(F319&lt;&gt;"",ISERROR(SEARCH("@",F319))),"Check the email","✓ Ready")))))))</f>
      </c>
      <c r="K319">
        <f>IF(A319="Plus one",K318,B319)</f>
      </c>
    </row>
    <row r="320" spans="1:11" x14ac:dyDescent="0.25">
      <c r="A320" s="16" t="s">
        <v>22</v>
      </c>
      <c r="B320" s="16"/>
      <c r="C320" s="17"/>
      <c r="D320" s="16"/>
      <c r="E320" s="18"/>
      <c r="F320" s="16"/>
      <c r="G320" s="16"/>
      <c r="H320" s="16"/>
      <c r="I320" s="16"/>
      <c r="J320" s="8">
        <f>IF(B320="",IF(AND(A320="Plus one",K320&lt;&gt;""),"↳ Plus one of "&amp;K320&amp;" (name TBC)",""),IF(A320="Plus one",IF(C320&lt;&gt;"","Leave party size empty",IF(K320="","Put it under a main guest","↳ Plus one of "&amp;K320)),IF(C320="","Add a party size",IF(COUNTIFS($K$4:$K$403,B320,$A$4:$A$403,"Plus one")&gt;C320-1,"More plus ones than party size",IF(AND(OR(D320="WhatsApp",D320="Both"),E320=""),"Add a phone number",IF(AND(OR(D320="Email",D320="Both"),F320=""),"Add an email",IF(AND(F320&lt;&gt;"",ISERROR(SEARCH("@",F320))),"Check the email","✓ Ready")))))))</f>
      </c>
      <c r="K320">
        <f>IF(A320="Plus one",K319,B320)</f>
      </c>
    </row>
    <row r="321" spans="1:11" x14ac:dyDescent="0.25">
      <c r="A321" s="13" t="s">
        <v>22</v>
      </c>
      <c r="B321" s="13"/>
      <c r="C321" s="14"/>
      <c r="D321" s="13"/>
      <c r="E321" s="15"/>
      <c r="F321" s="13"/>
      <c r="G321" s="13"/>
      <c r="H321" s="13"/>
      <c r="I321" s="13"/>
      <c r="J321" s="12">
        <f>IF(B321="",IF(AND(A321="Plus one",K321&lt;&gt;""),"↳ Plus one of "&amp;K321&amp;" (name TBC)",""),IF(A321="Plus one",IF(C321&lt;&gt;"","Leave party size empty",IF(K321="","Put it under a main guest","↳ Plus one of "&amp;K321)),IF(C321="","Add a party size",IF(COUNTIFS($K$4:$K$403,B321,$A$4:$A$403,"Plus one")&gt;C321-1,"More plus ones than party size",IF(AND(OR(D321="WhatsApp",D321="Both"),E321=""),"Add a phone number",IF(AND(OR(D321="Email",D321="Both"),F321=""),"Add an email",IF(AND(F321&lt;&gt;"",ISERROR(SEARCH("@",F321))),"Check the email","✓ Ready")))))))</f>
      </c>
      <c r="K321">
        <f>IF(A321="Plus one",K320,B321)</f>
      </c>
    </row>
    <row r="322" spans="1:11" x14ac:dyDescent="0.25">
      <c r="A322" s="16" t="s">
        <v>22</v>
      </c>
      <c r="B322" s="16"/>
      <c r="C322" s="17"/>
      <c r="D322" s="16"/>
      <c r="E322" s="18"/>
      <c r="F322" s="16"/>
      <c r="G322" s="16"/>
      <c r="H322" s="16"/>
      <c r="I322" s="16"/>
      <c r="J322" s="8">
        <f>IF(B322="",IF(AND(A322="Plus one",K322&lt;&gt;""),"↳ Plus one of "&amp;K322&amp;" (name TBC)",""),IF(A322="Plus one",IF(C322&lt;&gt;"","Leave party size empty",IF(K322="","Put it under a main guest","↳ Plus one of "&amp;K322)),IF(C322="","Add a party size",IF(COUNTIFS($K$4:$K$403,B322,$A$4:$A$403,"Plus one")&gt;C322-1,"More plus ones than party size",IF(AND(OR(D322="WhatsApp",D322="Both"),E322=""),"Add a phone number",IF(AND(OR(D322="Email",D322="Both"),F322=""),"Add an email",IF(AND(F322&lt;&gt;"",ISERROR(SEARCH("@",F322))),"Check the email","✓ Ready")))))))</f>
      </c>
      <c r="K322">
        <f>IF(A322="Plus one",K321,B322)</f>
      </c>
    </row>
    <row r="323" spans="1:11" x14ac:dyDescent="0.25">
      <c r="A323" s="13" t="s">
        <v>22</v>
      </c>
      <c r="B323" s="13"/>
      <c r="C323" s="14"/>
      <c r="D323" s="13"/>
      <c r="E323" s="15"/>
      <c r="F323" s="13"/>
      <c r="G323" s="13"/>
      <c r="H323" s="13"/>
      <c r="I323" s="13"/>
      <c r="J323" s="12">
        <f>IF(B323="",IF(AND(A323="Plus one",K323&lt;&gt;""),"↳ Plus one of "&amp;K323&amp;" (name TBC)",""),IF(A323="Plus one",IF(C323&lt;&gt;"","Leave party size empty",IF(K323="","Put it under a main guest","↳ Plus one of "&amp;K323)),IF(C323="","Add a party size",IF(COUNTIFS($K$4:$K$403,B323,$A$4:$A$403,"Plus one")&gt;C323-1,"More plus ones than party size",IF(AND(OR(D323="WhatsApp",D323="Both"),E323=""),"Add a phone number",IF(AND(OR(D323="Email",D323="Both"),F323=""),"Add an email",IF(AND(F323&lt;&gt;"",ISERROR(SEARCH("@",F323))),"Check the email","✓ Ready")))))))</f>
      </c>
      <c r="K323">
        <f>IF(A323="Plus one",K322,B323)</f>
      </c>
    </row>
    <row r="324" spans="1:11" x14ac:dyDescent="0.25">
      <c r="A324" s="16" t="s">
        <v>22</v>
      </c>
      <c r="B324" s="16"/>
      <c r="C324" s="17"/>
      <c r="D324" s="16"/>
      <c r="E324" s="18"/>
      <c r="F324" s="16"/>
      <c r="G324" s="16"/>
      <c r="H324" s="16"/>
      <c r="I324" s="16"/>
      <c r="J324" s="8">
        <f>IF(B324="",IF(AND(A324="Plus one",K324&lt;&gt;""),"↳ Plus one of "&amp;K324&amp;" (name TBC)",""),IF(A324="Plus one",IF(C324&lt;&gt;"","Leave party size empty",IF(K324="","Put it under a main guest","↳ Plus one of "&amp;K324)),IF(C324="","Add a party size",IF(COUNTIFS($K$4:$K$403,B324,$A$4:$A$403,"Plus one")&gt;C324-1,"More plus ones than party size",IF(AND(OR(D324="WhatsApp",D324="Both"),E324=""),"Add a phone number",IF(AND(OR(D324="Email",D324="Both"),F324=""),"Add an email",IF(AND(F324&lt;&gt;"",ISERROR(SEARCH("@",F324))),"Check the email","✓ Ready")))))))</f>
      </c>
      <c r="K324">
        <f>IF(A324="Plus one",K323,B324)</f>
      </c>
    </row>
    <row r="325" spans="1:11" x14ac:dyDescent="0.25">
      <c r="A325" s="13" t="s">
        <v>22</v>
      </c>
      <c r="B325" s="13"/>
      <c r="C325" s="14"/>
      <c r="D325" s="13"/>
      <c r="E325" s="15"/>
      <c r="F325" s="13"/>
      <c r="G325" s="13"/>
      <c r="H325" s="13"/>
      <c r="I325" s="13"/>
      <c r="J325" s="12">
        <f>IF(B325="",IF(AND(A325="Plus one",K325&lt;&gt;""),"↳ Plus one of "&amp;K325&amp;" (name TBC)",""),IF(A325="Plus one",IF(C325&lt;&gt;"","Leave party size empty",IF(K325="","Put it under a main guest","↳ Plus one of "&amp;K325)),IF(C325="","Add a party size",IF(COUNTIFS($K$4:$K$403,B325,$A$4:$A$403,"Plus one")&gt;C325-1,"More plus ones than party size",IF(AND(OR(D325="WhatsApp",D325="Both"),E325=""),"Add a phone number",IF(AND(OR(D325="Email",D325="Both"),F325=""),"Add an email",IF(AND(F325&lt;&gt;"",ISERROR(SEARCH("@",F325))),"Check the email","✓ Ready")))))))</f>
      </c>
      <c r="K325">
        <f>IF(A325="Plus one",K324,B325)</f>
      </c>
    </row>
    <row r="326" spans="1:11" x14ac:dyDescent="0.25">
      <c r="A326" s="16" t="s">
        <v>22</v>
      </c>
      <c r="B326" s="16"/>
      <c r="C326" s="17"/>
      <c r="D326" s="16"/>
      <c r="E326" s="18"/>
      <c r="F326" s="16"/>
      <c r="G326" s="16"/>
      <c r="H326" s="16"/>
      <c r="I326" s="16"/>
      <c r="J326" s="8">
        <f>IF(B326="",IF(AND(A326="Plus one",K326&lt;&gt;""),"↳ Plus one of "&amp;K326&amp;" (name TBC)",""),IF(A326="Plus one",IF(C326&lt;&gt;"","Leave party size empty",IF(K326="","Put it under a main guest","↳ Plus one of "&amp;K326)),IF(C326="","Add a party size",IF(COUNTIFS($K$4:$K$403,B326,$A$4:$A$403,"Plus one")&gt;C326-1,"More plus ones than party size",IF(AND(OR(D326="WhatsApp",D326="Both"),E326=""),"Add a phone number",IF(AND(OR(D326="Email",D326="Both"),F326=""),"Add an email",IF(AND(F326&lt;&gt;"",ISERROR(SEARCH("@",F326))),"Check the email","✓ Ready")))))))</f>
      </c>
      <c r="K326">
        <f>IF(A326="Plus one",K325,B326)</f>
      </c>
    </row>
    <row r="327" spans="1:11" x14ac:dyDescent="0.25">
      <c r="A327" s="13" t="s">
        <v>22</v>
      </c>
      <c r="B327" s="13"/>
      <c r="C327" s="14"/>
      <c r="D327" s="13"/>
      <c r="E327" s="15"/>
      <c r="F327" s="13"/>
      <c r="G327" s="13"/>
      <c r="H327" s="13"/>
      <c r="I327" s="13"/>
      <c r="J327" s="12">
        <f>IF(B327="",IF(AND(A327="Plus one",K327&lt;&gt;""),"↳ Plus one of "&amp;K327&amp;" (name TBC)",""),IF(A327="Plus one",IF(C327&lt;&gt;"","Leave party size empty",IF(K327="","Put it under a main guest","↳ Plus one of "&amp;K327)),IF(C327="","Add a party size",IF(COUNTIFS($K$4:$K$403,B327,$A$4:$A$403,"Plus one")&gt;C327-1,"More plus ones than party size",IF(AND(OR(D327="WhatsApp",D327="Both"),E327=""),"Add a phone number",IF(AND(OR(D327="Email",D327="Both"),F327=""),"Add an email",IF(AND(F327&lt;&gt;"",ISERROR(SEARCH("@",F327))),"Check the email","✓ Ready")))))))</f>
      </c>
      <c r="K327">
        <f>IF(A327="Plus one",K326,B327)</f>
      </c>
    </row>
    <row r="328" spans="1:11" x14ac:dyDescent="0.25">
      <c r="A328" s="16" t="s">
        <v>22</v>
      </c>
      <c r="B328" s="16"/>
      <c r="C328" s="17"/>
      <c r="D328" s="16"/>
      <c r="E328" s="18"/>
      <c r="F328" s="16"/>
      <c r="G328" s="16"/>
      <c r="H328" s="16"/>
      <c r="I328" s="16"/>
      <c r="J328" s="8">
        <f>IF(B328="",IF(AND(A328="Plus one",K328&lt;&gt;""),"↳ Plus one of "&amp;K328&amp;" (name TBC)",""),IF(A328="Plus one",IF(C328&lt;&gt;"","Leave party size empty",IF(K328="","Put it under a main guest","↳ Plus one of "&amp;K328)),IF(C328="","Add a party size",IF(COUNTIFS($K$4:$K$403,B328,$A$4:$A$403,"Plus one")&gt;C328-1,"More plus ones than party size",IF(AND(OR(D328="WhatsApp",D328="Both"),E328=""),"Add a phone number",IF(AND(OR(D328="Email",D328="Both"),F328=""),"Add an email",IF(AND(F328&lt;&gt;"",ISERROR(SEARCH("@",F328))),"Check the email","✓ Ready")))))))</f>
      </c>
      <c r="K328">
        <f>IF(A328="Plus one",K327,B328)</f>
      </c>
    </row>
    <row r="329" spans="1:11" x14ac:dyDescent="0.25">
      <c r="A329" s="13" t="s">
        <v>22</v>
      </c>
      <c r="B329" s="13"/>
      <c r="C329" s="14"/>
      <c r="D329" s="13"/>
      <c r="E329" s="15"/>
      <c r="F329" s="13"/>
      <c r="G329" s="13"/>
      <c r="H329" s="13"/>
      <c r="I329" s="13"/>
      <c r="J329" s="12">
        <f>IF(B329="",IF(AND(A329="Plus one",K329&lt;&gt;""),"↳ Plus one of "&amp;K329&amp;" (name TBC)",""),IF(A329="Plus one",IF(C329&lt;&gt;"","Leave party size empty",IF(K329="","Put it under a main guest","↳ Plus one of "&amp;K329)),IF(C329="","Add a party size",IF(COUNTIFS($K$4:$K$403,B329,$A$4:$A$403,"Plus one")&gt;C329-1,"More plus ones than party size",IF(AND(OR(D329="WhatsApp",D329="Both"),E329=""),"Add a phone number",IF(AND(OR(D329="Email",D329="Both"),F329=""),"Add an email",IF(AND(F329&lt;&gt;"",ISERROR(SEARCH("@",F329))),"Check the email","✓ Ready")))))))</f>
      </c>
      <c r="K329">
        <f>IF(A329="Plus one",K328,B329)</f>
      </c>
    </row>
    <row r="330" spans="1:11" x14ac:dyDescent="0.25">
      <c r="A330" s="16" t="s">
        <v>22</v>
      </c>
      <c r="B330" s="16"/>
      <c r="C330" s="17"/>
      <c r="D330" s="16"/>
      <c r="E330" s="18"/>
      <c r="F330" s="16"/>
      <c r="G330" s="16"/>
      <c r="H330" s="16"/>
      <c r="I330" s="16"/>
      <c r="J330" s="8">
        <f>IF(B330="",IF(AND(A330="Plus one",K330&lt;&gt;""),"↳ Plus one of "&amp;K330&amp;" (name TBC)",""),IF(A330="Plus one",IF(C330&lt;&gt;"","Leave party size empty",IF(K330="","Put it under a main guest","↳ Plus one of "&amp;K330)),IF(C330="","Add a party size",IF(COUNTIFS($K$4:$K$403,B330,$A$4:$A$403,"Plus one")&gt;C330-1,"More plus ones than party size",IF(AND(OR(D330="WhatsApp",D330="Both"),E330=""),"Add a phone number",IF(AND(OR(D330="Email",D330="Both"),F330=""),"Add an email",IF(AND(F330&lt;&gt;"",ISERROR(SEARCH("@",F330))),"Check the email","✓ Ready")))))))</f>
      </c>
      <c r="K330">
        <f>IF(A330="Plus one",K329,B330)</f>
      </c>
    </row>
    <row r="331" spans="1:11" x14ac:dyDescent="0.25">
      <c r="A331" s="13" t="s">
        <v>22</v>
      </c>
      <c r="B331" s="13"/>
      <c r="C331" s="14"/>
      <c r="D331" s="13"/>
      <c r="E331" s="15"/>
      <c r="F331" s="13"/>
      <c r="G331" s="13"/>
      <c r="H331" s="13"/>
      <c r="I331" s="13"/>
      <c r="J331" s="12">
        <f>IF(B331="",IF(AND(A331="Plus one",K331&lt;&gt;""),"↳ Plus one of "&amp;K331&amp;" (name TBC)",""),IF(A331="Plus one",IF(C331&lt;&gt;"","Leave party size empty",IF(K331="","Put it under a main guest","↳ Plus one of "&amp;K331)),IF(C331="","Add a party size",IF(COUNTIFS($K$4:$K$403,B331,$A$4:$A$403,"Plus one")&gt;C331-1,"More plus ones than party size",IF(AND(OR(D331="WhatsApp",D331="Both"),E331=""),"Add a phone number",IF(AND(OR(D331="Email",D331="Both"),F331=""),"Add an email",IF(AND(F331&lt;&gt;"",ISERROR(SEARCH("@",F331))),"Check the email","✓ Ready")))))))</f>
      </c>
      <c r="K331">
        <f>IF(A331="Plus one",K330,B331)</f>
      </c>
    </row>
    <row r="332" spans="1:11" x14ac:dyDescent="0.25">
      <c r="A332" s="16" t="s">
        <v>22</v>
      </c>
      <c r="B332" s="16"/>
      <c r="C332" s="17"/>
      <c r="D332" s="16"/>
      <c r="E332" s="18"/>
      <c r="F332" s="16"/>
      <c r="G332" s="16"/>
      <c r="H332" s="16"/>
      <c r="I332" s="16"/>
      <c r="J332" s="8">
        <f>IF(B332="",IF(AND(A332="Plus one",K332&lt;&gt;""),"↳ Plus one of "&amp;K332&amp;" (name TBC)",""),IF(A332="Plus one",IF(C332&lt;&gt;"","Leave party size empty",IF(K332="","Put it under a main guest","↳ Plus one of "&amp;K332)),IF(C332="","Add a party size",IF(COUNTIFS($K$4:$K$403,B332,$A$4:$A$403,"Plus one")&gt;C332-1,"More plus ones than party size",IF(AND(OR(D332="WhatsApp",D332="Both"),E332=""),"Add a phone number",IF(AND(OR(D332="Email",D332="Both"),F332=""),"Add an email",IF(AND(F332&lt;&gt;"",ISERROR(SEARCH("@",F332))),"Check the email","✓ Ready")))))))</f>
      </c>
      <c r="K332">
        <f>IF(A332="Plus one",K331,B332)</f>
      </c>
    </row>
    <row r="333" spans="1:11" x14ac:dyDescent="0.25">
      <c r="A333" s="13" t="s">
        <v>22</v>
      </c>
      <c r="B333" s="13"/>
      <c r="C333" s="14"/>
      <c r="D333" s="13"/>
      <c r="E333" s="15"/>
      <c r="F333" s="13"/>
      <c r="G333" s="13"/>
      <c r="H333" s="13"/>
      <c r="I333" s="13"/>
      <c r="J333" s="12">
        <f>IF(B333="",IF(AND(A333="Plus one",K333&lt;&gt;""),"↳ Plus one of "&amp;K333&amp;" (name TBC)",""),IF(A333="Plus one",IF(C333&lt;&gt;"","Leave party size empty",IF(K333="","Put it under a main guest","↳ Plus one of "&amp;K333)),IF(C333="","Add a party size",IF(COUNTIFS($K$4:$K$403,B333,$A$4:$A$403,"Plus one")&gt;C333-1,"More plus ones than party size",IF(AND(OR(D333="WhatsApp",D333="Both"),E333=""),"Add a phone number",IF(AND(OR(D333="Email",D333="Both"),F333=""),"Add an email",IF(AND(F333&lt;&gt;"",ISERROR(SEARCH("@",F333))),"Check the email","✓ Ready")))))))</f>
      </c>
      <c r="K333">
        <f>IF(A333="Plus one",K332,B333)</f>
      </c>
    </row>
    <row r="334" spans="1:11" x14ac:dyDescent="0.25">
      <c r="A334" s="16" t="s">
        <v>22</v>
      </c>
      <c r="B334" s="16"/>
      <c r="C334" s="17"/>
      <c r="D334" s="16"/>
      <c r="E334" s="18"/>
      <c r="F334" s="16"/>
      <c r="G334" s="16"/>
      <c r="H334" s="16"/>
      <c r="I334" s="16"/>
      <c r="J334" s="8">
        <f>IF(B334="",IF(AND(A334="Plus one",K334&lt;&gt;""),"↳ Plus one of "&amp;K334&amp;" (name TBC)",""),IF(A334="Plus one",IF(C334&lt;&gt;"","Leave party size empty",IF(K334="","Put it under a main guest","↳ Plus one of "&amp;K334)),IF(C334="","Add a party size",IF(COUNTIFS($K$4:$K$403,B334,$A$4:$A$403,"Plus one")&gt;C334-1,"More plus ones than party size",IF(AND(OR(D334="WhatsApp",D334="Both"),E334=""),"Add a phone number",IF(AND(OR(D334="Email",D334="Both"),F334=""),"Add an email",IF(AND(F334&lt;&gt;"",ISERROR(SEARCH("@",F334))),"Check the email","✓ Ready")))))))</f>
      </c>
      <c r="K334">
        <f>IF(A334="Plus one",K333,B334)</f>
      </c>
    </row>
    <row r="335" spans="1:11" x14ac:dyDescent="0.25">
      <c r="A335" s="13" t="s">
        <v>22</v>
      </c>
      <c r="B335" s="13"/>
      <c r="C335" s="14"/>
      <c r="D335" s="13"/>
      <c r="E335" s="15"/>
      <c r="F335" s="13"/>
      <c r="G335" s="13"/>
      <c r="H335" s="13"/>
      <c r="I335" s="13"/>
      <c r="J335" s="12">
        <f>IF(B335="",IF(AND(A335="Plus one",K335&lt;&gt;""),"↳ Plus one of "&amp;K335&amp;" (name TBC)",""),IF(A335="Plus one",IF(C335&lt;&gt;"","Leave party size empty",IF(K335="","Put it under a main guest","↳ Plus one of "&amp;K335)),IF(C335="","Add a party size",IF(COUNTIFS($K$4:$K$403,B335,$A$4:$A$403,"Plus one")&gt;C335-1,"More plus ones than party size",IF(AND(OR(D335="WhatsApp",D335="Both"),E335=""),"Add a phone number",IF(AND(OR(D335="Email",D335="Both"),F335=""),"Add an email",IF(AND(F335&lt;&gt;"",ISERROR(SEARCH("@",F335))),"Check the email","✓ Ready")))))))</f>
      </c>
      <c r="K335">
        <f>IF(A335="Plus one",K334,B335)</f>
      </c>
    </row>
    <row r="336" spans="1:11" x14ac:dyDescent="0.25">
      <c r="A336" s="16" t="s">
        <v>22</v>
      </c>
      <c r="B336" s="16"/>
      <c r="C336" s="17"/>
      <c r="D336" s="16"/>
      <c r="E336" s="18"/>
      <c r="F336" s="16"/>
      <c r="G336" s="16"/>
      <c r="H336" s="16"/>
      <c r="I336" s="16"/>
      <c r="J336" s="8">
        <f>IF(B336="",IF(AND(A336="Plus one",K336&lt;&gt;""),"↳ Plus one of "&amp;K336&amp;" (name TBC)",""),IF(A336="Plus one",IF(C336&lt;&gt;"","Leave party size empty",IF(K336="","Put it under a main guest","↳ Plus one of "&amp;K336)),IF(C336="","Add a party size",IF(COUNTIFS($K$4:$K$403,B336,$A$4:$A$403,"Plus one")&gt;C336-1,"More plus ones than party size",IF(AND(OR(D336="WhatsApp",D336="Both"),E336=""),"Add a phone number",IF(AND(OR(D336="Email",D336="Both"),F336=""),"Add an email",IF(AND(F336&lt;&gt;"",ISERROR(SEARCH("@",F336))),"Check the email","✓ Ready")))))))</f>
      </c>
      <c r="K336">
        <f>IF(A336="Plus one",K335,B336)</f>
      </c>
    </row>
    <row r="337" spans="1:11" x14ac:dyDescent="0.25">
      <c r="A337" s="13" t="s">
        <v>22</v>
      </c>
      <c r="B337" s="13"/>
      <c r="C337" s="14"/>
      <c r="D337" s="13"/>
      <c r="E337" s="15"/>
      <c r="F337" s="13"/>
      <c r="G337" s="13"/>
      <c r="H337" s="13"/>
      <c r="I337" s="13"/>
      <c r="J337" s="12">
        <f>IF(B337="",IF(AND(A337="Plus one",K337&lt;&gt;""),"↳ Plus one of "&amp;K337&amp;" (name TBC)",""),IF(A337="Plus one",IF(C337&lt;&gt;"","Leave party size empty",IF(K337="","Put it under a main guest","↳ Plus one of "&amp;K337)),IF(C337="","Add a party size",IF(COUNTIFS($K$4:$K$403,B337,$A$4:$A$403,"Plus one")&gt;C337-1,"More plus ones than party size",IF(AND(OR(D337="WhatsApp",D337="Both"),E337=""),"Add a phone number",IF(AND(OR(D337="Email",D337="Both"),F337=""),"Add an email",IF(AND(F337&lt;&gt;"",ISERROR(SEARCH("@",F337))),"Check the email","✓ Ready")))))))</f>
      </c>
      <c r="K337">
        <f>IF(A337="Plus one",K336,B337)</f>
      </c>
    </row>
    <row r="338" spans="1:11" x14ac:dyDescent="0.25">
      <c r="A338" s="16" t="s">
        <v>22</v>
      </c>
      <c r="B338" s="16"/>
      <c r="C338" s="17"/>
      <c r="D338" s="16"/>
      <c r="E338" s="18"/>
      <c r="F338" s="16"/>
      <c r="G338" s="16"/>
      <c r="H338" s="16"/>
      <c r="I338" s="16"/>
      <c r="J338" s="8">
        <f>IF(B338="",IF(AND(A338="Plus one",K338&lt;&gt;""),"↳ Plus one of "&amp;K338&amp;" (name TBC)",""),IF(A338="Plus one",IF(C338&lt;&gt;"","Leave party size empty",IF(K338="","Put it under a main guest","↳ Plus one of "&amp;K338)),IF(C338="","Add a party size",IF(COUNTIFS($K$4:$K$403,B338,$A$4:$A$403,"Plus one")&gt;C338-1,"More plus ones than party size",IF(AND(OR(D338="WhatsApp",D338="Both"),E338=""),"Add a phone number",IF(AND(OR(D338="Email",D338="Both"),F338=""),"Add an email",IF(AND(F338&lt;&gt;"",ISERROR(SEARCH("@",F338))),"Check the email","✓ Ready")))))))</f>
      </c>
      <c r="K338">
        <f>IF(A338="Plus one",K337,B338)</f>
      </c>
    </row>
    <row r="339" spans="1:11" x14ac:dyDescent="0.25">
      <c r="A339" s="13" t="s">
        <v>22</v>
      </c>
      <c r="B339" s="13"/>
      <c r="C339" s="14"/>
      <c r="D339" s="13"/>
      <c r="E339" s="15"/>
      <c r="F339" s="13"/>
      <c r="G339" s="13"/>
      <c r="H339" s="13"/>
      <c r="I339" s="13"/>
      <c r="J339" s="12">
        <f>IF(B339="",IF(AND(A339="Plus one",K339&lt;&gt;""),"↳ Plus one of "&amp;K339&amp;" (name TBC)",""),IF(A339="Plus one",IF(C339&lt;&gt;"","Leave party size empty",IF(K339="","Put it under a main guest","↳ Plus one of "&amp;K339)),IF(C339="","Add a party size",IF(COUNTIFS($K$4:$K$403,B339,$A$4:$A$403,"Plus one")&gt;C339-1,"More plus ones than party size",IF(AND(OR(D339="WhatsApp",D339="Both"),E339=""),"Add a phone number",IF(AND(OR(D339="Email",D339="Both"),F339=""),"Add an email",IF(AND(F339&lt;&gt;"",ISERROR(SEARCH("@",F339))),"Check the email","✓ Ready")))))))</f>
      </c>
      <c r="K339">
        <f>IF(A339="Plus one",K338,B339)</f>
      </c>
    </row>
    <row r="340" spans="1:11" x14ac:dyDescent="0.25">
      <c r="A340" s="16" t="s">
        <v>22</v>
      </c>
      <c r="B340" s="16"/>
      <c r="C340" s="17"/>
      <c r="D340" s="16"/>
      <c r="E340" s="18"/>
      <c r="F340" s="16"/>
      <c r="G340" s="16"/>
      <c r="H340" s="16"/>
      <c r="I340" s="16"/>
      <c r="J340" s="8">
        <f>IF(B340="",IF(AND(A340="Plus one",K340&lt;&gt;""),"↳ Plus one of "&amp;K340&amp;" (name TBC)",""),IF(A340="Plus one",IF(C340&lt;&gt;"","Leave party size empty",IF(K340="","Put it under a main guest","↳ Plus one of "&amp;K340)),IF(C340="","Add a party size",IF(COUNTIFS($K$4:$K$403,B340,$A$4:$A$403,"Plus one")&gt;C340-1,"More plus ones than party size",IF(AND(OR(D340="WhatsApp",D340="Both"),E340=""),"Add a phone number",IF(AND(OR(D340="Email",D340="Both"),F340=""),"Add an email",IF(AND(F340&lt;&gt;"",ISERROR(SEARCH("@",F340))),"Check the email","✓ Ready")))))))</f>
      </c>
      <c r="K340">
        <f>IF(A340="Plus one",K339,B340)</f>
      </c>
    </row>
    <row r="341" spans="1:11" x14ac:dyDescent="0.25">
      <c r="A341" s="13" t="s">
        <v>22</v>
      </c>
      <c r="B341" s="13"/>
      <c r="C341" s="14"/>
      <c r="D341" s="13"/>
      <c r="E341" s="15"/>
      <c r="F341" s="13"/>
      <c r="G341" s="13"/>
      <c r="H341" s="13"/>
      <c r="I341" s="13"/>
      <c r="J341" s="12">
        <f>IF(B341="",IF(AND(A341="Plus one",K341&lt;&gt;""),"↳ Plus one of "&amp;K341&amp;" (name TBC)",""),IF(A341="Plus one",IF(C341&lt;&gt;"","Leave party size empty",IF(K341="","Put it under a main guest","↳ Plus one of "&amp;K341)),IF(C341="","Add a party size",IF(COUNTIFS($K$4:$K$403,B341,$A$4:$A$403,"Plus one")&gt;C341-1,"More plus ones than party size",IF(AND(OR(D341="WhatsApp",D341="Both"),E341=""),"Add a phone number",IF(AND(OR(D341="Email",D341="Both"),F341=""),"Add an email",IF(AND(F341&lt;&gt;"",ISERROR(SEARCH("@",F341))),"Check the email","✓ Ready")))))))</f>
      </c>
      <c r="K341">
        <f>IF(A341="Plus one",K340,B341)</f>
      </c>
    </row>
    <row r="342" spans="1:11" x14ac:dyDescent="0.25">
      <c r="A342" s="16" t="s">
        <v>22</v>
      </c>
      <c r="B342" s="16"/>
      <c r="C342" s="17"/>
      <c r="D342" s="16"/>
      <c r="E342" s="18"/>
      <c r="F342" s="16"/>
      <c r="G342" s="16"/>
      <c r="H342" s="16"/>
      <c r="I342" s="16"/>
      <c r="J342" s="8">
        <f>IF(B342="",IF(AND(A342="Plus one",K342&lt;&gt;""),"↳ Plus one of "&amp;K342&amp;" (name TBC)",""),IF(A342="Plus one",IF(C342&lt;&gt;"","Leave party size empty",IF(K342="","Put it under a main guest","↳ Plus one of "&amp;K342)),IF(C342="","Add a party size",IF(COUNTIFS($K$4:$K$403,B342,$A$4:$A$403,"Plus one")&gt;C342-1,"More plus ones than party size",IF(AND(OR(D342="WhatsApp",D342="Both"),E342=""),"Add a phone number",IF(AND(OR(D342="Email",D342="Both"),F342=""),"Add an email",IF(AND(F342&lt;&gt;"",ISERROR(SEARCH("@",F342))),"Check the email","✓ Ready")))))))</f>
      </c>
      <c r="K342">
        <f>IF(A342="Plus one",K341,B342)</f>
      </c>
    </row>
    <row r="343" spans="1:11" x14ac:dyDescent="0.25">
      <c r="A343" s="13" t="s">
        <v>22</v>
      </c>
      <c r="B343" s="13"/>
      <c r="C343" s="14"/>
      <c r="D343" s="13"/>
      <c r="E343" s="15"/>
      <c r="F343" s="13"/>
      <c r="G343" s="13"/>
      <c r="H343" s="13"/>
      <c r="I343" s="13"/>
      <c r="J343" s="12">
        <f>IF(B343="",IF(AND(A343="Plus one",K343&lt;&gt;""),"↳ Plus one of "&amp;K343&amp;" (name TBC)",""),IF(A343="Plus one",IF(C343&lt;&gt;"","Leave party size empty",IF(K343="","Put it under a main guest","↳ Plus one of "&amp;K343)),IF(C343="","Add a party size",IF(COUNTIFS($K$4:$K$403,B343,$A$4:$A$403,"Plus one")&gt;C343-1,"More plus ones than party size",IF(AND(OR(D343="WhatsApp",D343="Both"),E343=""),"Add a phone number",IF(AND(OR(D343="Email",D343="Both"),F343=""),"Add an email",IF(AND(F343&lt;&gt;"",ISERROR(SEARCH("@",F343))),"Check the email","✓ Ready")))))))</f>
      </c>
      <c r="K343">
        <f>IF(A343="Plus one",K342,B343)</f>
      </c>
    </row>
    <row r="344" spans="1:11" x14ac:dyDescent="0.25">
      <c r="A344" s="16" t="s">
        <v>22</v>
      </c>
      <c r="B344" s="16"/>
      <c r="C344" s="17"/>
      <c r="D344" s="16"/>
      <c r="E344" s="18"/>
      <c r="F344" s="16"/>
      <c r="G344" s="16"/>
      <c r="H344" s="16"/>
      <c r="I344" s="16"/>
      <c r="J344" s="8">
        <f>IF(B344="",IF(AND(A344="Plus one",K344&lt;&gt;""),"↳ Plus one of "&amp;K344&amp;" (name TBC)",""),IF(A344="Plus one",IF(C344&lt;&gt;"","Leave party size empty",IF(K344="","Put it under a main guest","↳ Plus one of "&amp;K344)),IF(C344="","Add a party size",IF(COUNTIFS($K$4:$K$403,B344,$A$4:$A$403,"Plus one")&gt;C344-1,"More plus ones than party size",IF(AND(OR(D344="WhatsApp",D344="Both"),E344=""),"Add a phone number",IF(AND(OR(D344="Email",D344="Both"),F344=""),"Add an email",IF(AND(F344&lt;&gt;"",ISERROR(SEARCH("@",F344))),"Check the email","✓ Ready")))))))</f>
      </c>
      <c r="K344">
        <f>IF(A344="Plus one",K343,B344)</f>
      </c>
    </row>
    <row r="345" spans="1:11" x14ac:dyDescent="0.25">
      <c r="A345" s="13" t="s">
        <v>22</v>
      </c>
      <c r="B345" s="13"/>
      <c r="C345" s="14"/>
      <c r="D345" s="13"/>
      <c r="E345" s="15"/>
      <c r="F345" s="13"/>
      <c r="G345" s="13"/>
      <c r="H345" s="13"/>
      <c r="I345" s="13"/>
      <c r="J345" s="12">
        <f>IF(B345="",IF(AND(A345="Plus one",K345&lt;&gt;""),"↳ Plus one of "&amp;K345&amp;" (name TBC)",""),IF(A345="Plus one",IF(C345&lt;&gt;"","Leave party size empty",IF(K345="","Put it under a main guest","↳ Plus one of "&amp;K345)),IF(C345="","Add a party size",IF(COUNTIFS($K$4:$K$403,B345,$A$4:$A$403,"Plus one")&gt;C345-1,"More plus ones than party size",IF(AND(OR(D345="WhatsApp",D345="Both"),E345=""),"Add a phone number",IF(AND(OR(D345="Email",D345="Both"),F345=""),"Add an email",IF(AND(F345&lt;&gt;"",ISERROR(SEARCH("@",F345))),"Check the email","✓ Ready")))))))</f>
      </c>
      <c r="K345">
        <f>IF(A345="Plus one",K344,B345)</f>
      </c>
    </row>
    <row r="346" spans="1:11" x14ac:dyDescent="0.25">
      <c r="A346" s="16" t="s">
        <v>22</v>
      </c>
      <c r="B346" s="16"/>
      <c r="C346" s="17"/>
      <c r="D346" s="16"/>
      <c r="E346" s="18"/>
      <c r="F346" s="16"/>
      <c r="G346" s="16"/>
      <c r="H346" s="16"/>
      <c r="I346" s="16"/>
      <c r="J346" s="8">
        <f>IF(B346="",IF(AND(A346="Plus one",K346&lt;&gt;""),"↳ Plus one of "&amp;K346&amp;" (name TBC)",""),IF(A346="Plus one",IF(C346&lt;&gt;"","Leave party size empty",IF(K346="","Put it under a main guest","↳ Plus one of "&amp;K346)),IF(C346="","Add a party size",IF(COUNTIFS($K$4:$K$403,B346,$A$4:$A$403,"Plus one")&gt;C346-1,"More plus ones than party size",IF(AND(OR(D346="WhatsApp",D346="Both"),E346=""),"Add a phone number",IF(AND(OR(D346="Email",D346="Both"),F346=""),"Add an email",IF(AND(F346&lt;&gt;"",ISERROR(SEARCH("@",F346))),"Check the email","✓ Ready")))))))</f>
      </c>
      <c r="K346">
        <f>IF(A346="Plus one",K345,B346)</f>
      </c>
    </row>
    <row r="347" spans="1:11" x14ac:dyDescent="0.25">
      <c r="A347" s="13" t="s">
        <v>22</v>
      </c>
      <c r="B347" s="13"/>
      <c r="C347" s="14"/>
      <c r="D347" s="13"/>
      <c r="E347" s="15"/>
      <c r="F347" s="13"/>
      <c r="G347" s="13"/>
      <c r="H347" s="13"/>
      <c r="I347" s="13"/>
      <c r="J347" s="12">
        <f>IF(B347="",IF(AND(A347="Plus one",K347&lt;&gt;""),"↳ Plus one of "&amp;K347&amp;" (name TBC)",""),IF(A347="Plus one",IF(C347&lt;&gt;"","Leave party size empty",IF(K347="","Put it under a main guest","↳ Plus one of "&amp;K347)),IF(C347="","Add a party size",IF(COUNTIFS($K$4:$K$403,B347,$A$4:$A$403,"Plus one")&gt;C347-1,"More plus ones than party size",IF(AND(OR(D347="WhatsApp",D347="Both"),E347=""),"Add a phone number",IF(AND(OR(D347="Email",D347="Both"),F347=""),"Add an email",IF(AND(F347&lt;&gt;"",ISERROR(SEARCH("@",F347))),"Check the email","✓ Ready")))))))</f>
      </c>
      <c r="K347">
        <f>IF(A347="Plus one",K346,B347)</f>
      </c>
    </row>
    <row r="348" spans="1:11" x14ac:dyDescent="0.25">
      <c r="A348" s="16" t="s">
        <v>22</v>
      </c>
      <c r="B348" s="16"/>
      <c r="C348" s="17"/>
      <c r="D348" s="16"/>
      <c r="E348" s="18"/>
      <c r="F348" s="16"/>
      <c r="G348" s="16"/>
      <c r="H348" s="16"/>
      <c r="I348" s="16"/>
      <c r="J348" s="8">
        <f>IF(B348="",IF(AND(A348="Plus one",K348&lt;&gt;""),"↳ Plus one of "&amp;K348&amp;" (name TBC)",""),IF(A348="Plus one",IF(C348&lt;&gt;"","Leave party size empty",IF(K348="","Put it under a main guest","↳ Plus one of "&amp;K348)),IF(C348="","Add a party size",IF(COUNTIFS($K$4:$K$403,B348,$A$4:$A$403,"Plus one")&gt;C348-1,"More plus ones than party size",IF(AND(OR(D348="WhatsApp",D348="Both"),E348=""),"Add a phone number",IF(AND(OR(D348="Email",D348="Both"),F348=""),"Add an email",IF(AND(F348&lt;&gt;"",ISERROR(SEARCH("@",F348))),"Check the email","✓ Ready")))))))</f>
      </c>
      <c r="K348">
        <f>IF(A348="Plus one",K347,B348)</f>
      </c>
    </row>
    <row r="349" spans="1:11" x14ac:dyDescent="0.25">
      <c r="A349" s="13" t="s">
        <v>22</v>
      </c>
      <c r="B349" s="13"/>
      <c r="C349" s="14"/>
      <c r="D349" s="13"/>
      <c r="E349" s="15"/>
      <c r="F349" s="13"/>
      <c r="G349" s="13"/>
      <c r="H349" s="13"/>
      <c r="I349" s="13"/>
      <c r="J349" s="12">
        <f>IF(B349="",IF(AND(A349="Plus one",K349&lt;&gt;""),"↳ Plus one of "&amp;K349&amp;" (name TBC)",""),IF(A349="Plus one",IF(C349&lt;&gt;"","Leave party size empty",IF(K349="","Put it under a main guest","↳ Plus one of "&amp;K349)),IF(C349="","Add a party size",IF(COUNTIFS($K$4:$K$403,B349,$A$4:$A$403,"Plus one")&gt;C349-1,"More plus ones than party size",IF(AND(OR(D349="WhatsApp",D349="Both"),E349=""),"Add a phone number",IF(AND(OR(D349="Email",D349="Both"),F349=""),"Add an email",IF(AND(F349&lt;&gt;"",ISERROR(SEARCH("@",F349))),"Check the email","✓ Ready")))))))</f>
      </c>
      <c r="K349">
        <f>IF(A349="Plus one",K348,B349)</f>
      </c>
    </row>
    <row r="350" spans="1:11" x14ac:dyDescent="0.25">
      <c r="A350" s="16" t="s">
        <v>22</v>
      </c>
      <c r="B350" s="16"/>
      <c r="C350" s="17"/>
      <c r="D350" s="16"/>
      <c r="E350" s="18"/>
      <c r="F350" s="16"/>
      <c r="G350" s="16"/>
      <c r="H350" s="16"/>
      <c r="I350" s="16"/>
      <c r="J350" s="8">
        <f>IF(B350="",IF(AND(A350="Plus one",K350&lt;&gt;""),"↳ Plus one of "&amp;K350&amp;" (name TBC)",""),IF(A350="Plus one",IF(C350&lt;&gt;"","Leave party size empty",IF(K350="","Put it under a main guest","↳ Plus one of "&amp;K350)),IF(C350="","Add a party size",IF(COUNTIFS($K$4:$K$403,B350,$A$4:$A$403,"Plus one")&gt;C350-1,"More plus ones than party size",IF(AND(OR(D350="WhatsApp",D350="Both"),E350=""),"Add a phone number",IF(AND(OR(D350="Email",D350="Both"),F350=""),"Add an email",IF(AND(F350&lt;&gt;"",ISERROR(SEARCH("@",F350))),"Check the email","✓ Ready")))))))</f>
      </c>
      <c r="K350">
        <f>IF(A350="Plus one",K349,B350)</f>
      </c>
    </row>
    <row r="351" spans="1:11" x14ac:dyDescent="0.25">
      <c r="A351" s="13" t="s">
        <v>22</v>
      </c>
      <c r="B351" s="13"/>
      <c r="C351" s="14"/>
      <c r="D351" s="13"/>
      <c r="E351" s="15"/>
      <c r="F351" s="13"/>
      <c r="G351" s="13"/>
      <c r="H351" s="13"/>
      <c r="I351" s="13"/>
      <c r="J351" s="12">
        <f>IF(B351="",IF(AND(A351="Plus one",K351&lt;&gt;""),"↳ Plus one of "&amp;K351&amp;" (name TBC)",""),IF(A351="Plus one",IF(C351&lt;&gt;"","Leave party size empty",IF(K351="","Put it under a main guest","↳ Plus one of "&amp;K351)),IF(C351="","Add a party size",IF(COUNTIFS($K$4:$K$403,B351,$A$4:$A$403,"Plus one")&gt;C351-1,"More plus ones than party size",IF(AND(OR(D351="WhatsApp",D351="Both"),E351=""),"Add a phone number",IF(AND(OR(D351="Email",D351="Both"),F351=""),"Add an email",IF(AND(F351&lt;&gt;"",ISERROR(SEARCH("@",F351))),"Check the email","✓ Ready")))))))</f>
      </c>
      <c r="K351">
        <f>IF(A351="Plus one",K350,B351)</f>
      </c>
    </row>
    <row r="352" spans="1:11" x14ac:dyDescent="0.25">
      <c r="A352" s="16" t="s">
        <v>22</v>
      </c>
      <c r="B352" s="16"/>
      <c r="C352" s="17"/>
      <c r="D352" s="16"/>
      <c r="E352" s="18"/>
      <c r="F352" s="16"/>
      <c r="G352" s="16"/>
      <c r="H352" s="16"/>
      <c r="I352" s="16"/>
      <c r="J352" s="8">
        <f>IF(B352="",IF(AND(A352="Plus one",K352&lt;&gt;""),"↳ Plus one of "&amp;K352&amp;" (name TBC)",""),IF(A352="Plus one",IF(C352&lt;&gt;"","Leave party size empty",IF(K352="","Put it under a main guest","↳ Plus one of "&amp;K352)),IF(C352="","Add a party size",IF(COUNTIFS($K$4:$K$403,B352,$A$4:$A$403,"Plus one")&gt;C352-1,"More plus ones than party size",IF(AND(OR(D352="WhatsApp",D352="Both"),E352=""),"Add a phone number",IF(AND(OR(D352="Email",D352="Both"),F352=""),"Add an email",IF(AND(F352&lt;&gt;"",ISERROR(SEARCH("@",F352))),"Check the email","✓ Ready")))))))</f>
      </c>
      <c r="K352">
        <f>IF(A352="Plus one",K351,B352)</f>
      </c>
    </row>
    <row r="353" spans="1:11" x14ac:dyDescent="0.25">
      <c r="A353" s="13" t="s">
        <v>22</v>
      </c>
      <c r="B353" s="13"/>
      <c r="C353" s="14"/>
      <c r="D353" s="13"/>
      <c r="E353" s="15"/>
      <c r="F353" s="13"/>
      <c r="G353" s="13"/>
      <c r="H353" s="13"/>
      <c r="I353" s="13"/>
      <c r="J353" s="12">
        <f>IF(B353="",IF(AND(A353="Plus one",K353&lt;&gt;""),"↳ Plus one of "&amp;K353&amp;" (name TBC)",""),IF(A353="Plus one",IF(C353&lt;&gt;"","Leave party size empty",IF(K353="","Put it under a main guest","↳ Plus one of "&amp;K353)),IF(C353="","Add a party size",IF(COUNTIFS($K$4:$K$403,B353,$A$4:$A$403,"Plus one")&gt;C353-1,"More plus ones than party size",IF(AND(OR(D353="WhatsApp",D353="Both"),E353=""),"Add a phone number",IF(AND(OR(D353="Email",D353="Both"),F353=""),"Add an email",IF(AND(F353&lt;&gt;"",ISERROR(SEARCH("@",F353))),"Check the email","✓ Ready")))))))</f>
      </c>
      <c r="K353">
        <f>IF(A353="Plus one",K352,B353)</f>
      </c>
    </row>
    <row r="354" spans="1:11" x14ac:dyDescent="0.25">
      <c r="A354" s="16" t="s">
        <v>22</v>
      </c>
      <c r="B354" s="16"/>
      <c r="C354" s="17"/>
      <c r="D354" s="16"/>
      <c r="E354" s="18"/>
      <c r="F354" s="16"/>
      <c r="G354" s="16"/>
      <c r="H354" s="16"/>
      <c r="I354" s="16"/>
      <c r="J354" s="8">
        <f>IF(B354="",IF(AND(A354="Plus one",K354&lt;&gt;""),"↳ Plus one of "&amp;K354&amp;" (name TBC)",""),IF(A354="Plus one",IF(C354&lt;&gt;"","Leave party size empty",IF(K354="","Put it under a main guest","↳ Plus one of "&amp;K354)),IF(C354="","Add a party size",IF(COUNTIFS($K$4:$K$403,B354,$A$4:$A$403,"Plus one")&gt;C354-1,"More plus ones than party size",IF(AND(OR(D354="WhatsApp",D354="Both"),E354=""),"Add a phone number",IF(AND(OR(D354="Email",D354="Both"),F354=""),"Add an email",IF(AND(F354&lt;&gt;"",ISERROR(SEARCH("@",F354))),"Check the email","✓ Ready")))))))</f>
      </c>
      <c r="K354">
        <f>IF(A354="Plus one",K353,B354)</f>
      </c>
    </row>
    <row r="355" spans="1:11" x14ac:dyDescent="0.25">
      <c r="A355" s="13" t="s">
        <v>22</v>
      </c>
      <c r="B355" s="13"/>
      <c r="C355" s="14"/>
      <c r="D355" s="13"/>
      <c r="E355" s="15"/>
      <c r="F355" s="13"/>
      <c r="G355" s="13"/>
      <c r="H355" s="13"/>
      <c r="I355" s="13"/>
      <c r="J355" s="12">
        <f>IF(B355="",IF(AND(A355="Plus one",K355&lt;&gt;""),"↳ Plus one of "&amp;K355&amp;" (name TBC)",""),IF(A355="Plus one",IF(C355&lt;&gt;"","Leave party size empty",IF(K355="","Put it under a main guest","↳ Plus one of "&amp;K355)),IF(C355="","Add a party size",IF(COUNTIFS($K$4:$K$403,B355,$A$4:$A$403,"Plus one")&gt;C355-1,"More plus ones than party size",IF(AND(OR(D355="WhatsApp",D355="Both"),E355=""),"Add a phone number",IF(AND(OR(D355="Email",D355="Both"),F355=""),"Add an email",IF(AND(F355&lt;&gt;"",ISERROR(SEARCH("@",F355))),"Check the email","✓ Ready")))))))</f>
      </c>
      <c r="K355">
        <f>IF(A355="Plus one",K354,B355)</f>
      </c>
    </row>
    <row r="356" spans="1:11" x14ac:dyDescent="0.25">
      <c r="A356" s="16" t="s">
        <v>22</v>
      </c>
      <c r="B356" s="16"/>
      <c r="C356" s="17"/>
      <c r="D356" s="16"/>
      <c r="E356" s="18"/>
      <c r="F356" s="16"/>
      <c r="G356" s="16"/>
      <c r="H356" s="16"/>
      <c r="I356" s="16"/>
      <c r="J356" s="8">
        <f>IF(B356="",IF(AND(A356="Plus one",K356&lt;&gt;""),"↳ Plus one of "&amp;K356&amp;" (name TBC)",""),IF(A356="Plus one",IF(C356&lt;&gt;"","Leave party size empty",IF(K356="","Put it under a main guest","↳ Plus one of "&amp;K356)),IF(C356="","Add a party size",IF(COUNTIFS($K$4:$K$403,B356,$A$4:$A$403,"Plus one")&gt;C356-1,"More plus ones than party size",IF(AND(OR(D356="WhatsApp",D356="Both"),E356=""),"Add a phone number",IF(AND(OR(D356="Email",D356="Both"),F356=""),"Add an email",IF(AND(F356&lt;&gt;"",ISERROR(SEARCH("@",F356))),"Check the email","✓ Ready")))))))</f>
      </c>
      <c r="K356">
        <f>IF(A356="Plus one",K355,B356)</f>
      </c>
    </row>
    <row r="357" spans="1:11" x14ac:dyDescent="0.25">
      <c r="A357" s="13" t="s">
        <v>22</v>
      </c>
      <c r="B357" s="13"/>
      <c r="C357" s="14"/>
      <c r="D357" s="13"/>
      <c r="E357" s="15"/>
      <c r="F357" s="13"/>
      <c r="G357" s="13"/>
      <c r="H357" s="13"/>
      <c r="I357" s="13"/>
      <c r="J357" s="12">
        <f>IF(B357="",IF(AND(A357="Plus one",K357&lt;&gt;""),"↳ Plus one of "&amp;K357&amp;" (name TBC)",""),IF(A357="Plus one",IF(C357&lt;&gt;"","Leave party size empty",IF(K357="","Put it under a main guest","↳ Plus one of "&amp;K357)),IF(C357="","Add a party size",IF(COUNTIFS($K$4:$K$403,B357,$A$4:$A$403,"Plus one")&gt;C357-1,"More plus ones than party size",IF(AND(OR(D357="WhatsApp",D357="Both"),E357=""),"Add a phone number",IF(AND(OR(D357="Email",D357="Both"),F357=""),"Add an email",IF(AND(F357&lt;&gt;"",ISERROR(SEARCH("@",F357))),"Check the email","✓ Ready")))))))</f>
      </c>
      <c r="K357">
        <f>IF(A357="Plus one",K356,B357)</f>
      </c>
    </row>
    <row r="358" spans="1:11" x14ac:dyDescent="0.25">
      <c r="A358" s="16" t="s">
        <v>22</v>
      </c>
      <c r="B358" s="16"/>
      <c r="C358" s="17"/>
      <c r="D358" s="16"/>
      <c r="E358" s="18"/>
      <c r="F358" s="16"/>
      <c r="G358" s="16"/>
      <c r="H358" s="16"/>
      <c r="I358" s="16"/>
      <c r="J358" s="8">
        <f>IF(B358="",IF(AND(A358="Plus one",K358&lt;&gt;""),"↳ Plus one of "&amp;K358&amp;" (name TBC)",""),IF(A358="Plus one",IF(C358&lt;&gt;"","Leave party size empty",IF(K358="","Put it under a main guest","↳ Plus one of "&amp;K358)),IF(C358="","Add a party size",IF(COUNTIFS($K$4:$K$403,B358,$A$4:$A$403,"Plus one")&gt;C358-1,"More plus ones than party size",IF(AND(OR(D358="WhatsApp",D358="Both"),E358=""),"Add a phone number",IF(AND(OR(D358="Email",D358="Both"),F358=""),"Add an email",IF(AND(F358&lt;&gt;"",ISERROR(SEARCH("@",F358))),"Check the email","✓ Ready")))))))</f>
      </c>
      <c r="K358">
        <f>IF(A358="Plus one",K357,B358)</f>
      </c>
    </row>
    <row r="359" spans="1:11" x14ac:dyDescent="0.25">
      <c r="A359" s="13" t="s">
        <v>22</v>
      </c>
      <c r="B359" s="13"/>
      <c r="C359" s="14"/>
      <c r="D359" s="13"/>
      <c r="E359" s="15"/>
      <c r="F359" s="13"/>
      <c r="G359" s="13"/>
      <c r="H359" s="13"/>
      <c r="I359" s="13"/>
      <c r="J359" s="12">
        <f>IF(B359="",IF(AND(A359="Plus one",K359&lt;&gt;""),"↳ Plus one of "&amp;K359&amp;" (name TBC)",""),IF(A359="Plus one",IF(C359&lt;&gt;"","Leave party size empty",IF(K359="","Put it under a main guest","↳ Plus one of "&amp;K359)),IF(C359="","Add a party size",IF(COUNTIFS($K$4:$K$403,B359,$A$4:$A$403,"Plus one")&gt;C359-1,"More plus ones than party size",IF(AND(OR(D359="WhatsApp",D359="Both"),E359=""),"Add a phone number",IF(AND(OR(D359="Email",D359="Both"),F359=""),"Add an email",IF(AND(F359&lt;&gt;"",ISERROR(SEARCH("@",F359))),"Check the email","✓ Ready")))))))</f>
      </c>
      <c r="K359">
        <f>IF(A359="Plus one",K358,B359)</f>
      </c>
    </row>
    <row r="360" spans="1:11" x14ac:dyDescent="0.25">
      <c r="A360" s="16" t="s">
        <v>22</v>
      </c>
      <c r="B360" s="16"/>
      <c r="C360" s="17"/>
      <c r="D360" s="16"/>
      <c r="E360" s="18"/>
      <c r="F360" s="16"/>
      <c r="G360" s="16"/>
      <c r="H360" s="16"/>
      <c r="I360" s="16"/>
      <c r="J360" s="8">
        <f>IF(B360="",IF(AND(A360="Plus one",K360&lt;&gt;""),"↳ Plus one of "&amp;K360&amp;" (name TBC)",""),IF(A360="Plus one",IF(C360&lt;&gt;"","Leave party size empty",IF(K360="","Put it under a main guest","↳ Plus one of "&amp;K360)),IF(C360="","Add a party size",IF(COUNTIFS($K$4:$K$403,B360,$A$4:$A$403,"Plus one")&gt;C360-1,"More plus ones than party size",IF(AND(OR(D360="WhatsApp",D360="Both"),E360=""),"Add a phone number",IF(AND(OR(D360="Email",D360="Both"),F360=""),"Add an email",IF(AND(F360&lt;&gt;"",ISERROR(SEARCH("@",F360))),"Check the email","✓ Ready")))))))</f>
      </c>
      <c r="K360">
        <f>IF(A360="Plus one",K359,B360)</f>
      </c>
    </row>
    <row r="361" spans="1:11" x14ac:dyDescent="0.25">
      <c r="A361" s="13" t="s">
        <v>22</v>
      </c>
      <c r="B361" s="13"/>
      <c r="C361" s="14"/>
      <c r="D361" s="13"/>
      <c r="E361" s="15"/>
      <c r="F361" s="13"/>
      <c r="G361" s="13"/>
      <c r="H361" s="13"/>
      <c r="I361" s="13"/>
      <c r="J361" s="12">
        <f>IF(B361="",IF(AND(A361="Plus one",K361&lt;&gt;""),"↳ Plus one of "&amp;K361&amp;" (name TBC)",""),IF(A361="Plus one",IF(C361&lt;&gt;"","Leave party size empty",IF(K361="","Put it under a main guest","↳ Plus one of "&amp;K361)),IF(C361="","Add a party size",IF(COUNTIFS($K$4:$K$403,B361,$A$4:$A$403,"Plus one")&gt;C361-1,"More plus ones than party size",IF(AND(OR(D361="WhatsApp",D361="Both"),E361=""),"Add a phone number",IF(AND(OR(D361="Email",D361="Both"),F361=""),"Add an email",IF(AND(F361&lt;&gt;"",ISERROR(SEARCH("@",F361))),"Check the email","✓ Ready")))))))</f>
      </c>
      <c r="K361">
        <f>IF(A361="Plus one",K360,B361)</f>
      </c>
    </row>
    <row r="362" spans="1:11" x14ac:dyDescent="0.25">
      <c r="A362" s="16" t="s">
        <v>22</v>
      </c>
      <c r="B362" s="16"/>
      <c r="C362" s="17"/>
      <c r="D362" s="16"/>
      <c r="E362" s="18"/>
      <c r="F362" s="16"/>
      <c r="G362" s="16"/>
      <c r="H362" s="16"/>
      <c r="I362" s="16"/>
      <c r="J362" s="8">
        <f>IF(B362="",IF(AND(A362="Plus one",K362&lt;&gt;""),"↳ Plus one of "&amp;K362&amp;" (name TBC)",""),IF(A362="Plus one",IF(C362&lt;&gt;"","Leave party size empty",IF(K362="","Put it under a main guest","↳ Plus one of "&amp;K362)),IF(C362="","Add a party size",IF(COUNTIFS($K$4:$K$403,B362,$A$4:$A$403,"Plus one")&gt;C362-1,"More plus ones than party size",IF(AND(OR(D362="WhatsApp",D362="Both"),E362=""),"Add a phone number",IF(AND(OR(D362="Email",D362="Both"),F362=""),"Add an email",IF(AND(F362&lt;&gt;"",ISERROR(SEARCH("@",F362))),"Check the email","✓ Ready")))))))</f>
      </c>
      <c r="K362">
        <f>IF(A362="Plus one",K361,B362)</f>
      </c>
    </row>
    <row r="363" spans="1:11" x14ac:dyDescent="0.25">
      <c r="A363" s="13" t="s">
        <v>22</v>
      </c>
      <c r="B363" s="13"/>
      <c r="C363" s="14"/>
      <c r="D363" s="13"/>
      <c r="E363" s="15"/>
      <c r="F363" s="13"/>
      <c r="G363" s="13"/>
      <c r="H363" s="13"/>
      <c r="I363" s="13"/>
      <c r="J363" s="12">
        <f>IF(B363="",IF(AND(A363="Plus one",K363&lt;&gt;""),"↳ Plus one of "&amp;K363&amp;" (name TBC)",""),IF(A363="Plus one",IF(C363&lt;&gt;"","Leave party size empty",IF(K363="","Put it under a main guest","↳ Plus one of "&amp;K363)),IF(C363="","Add a party size",IF(COUNTIFS($K$4:$K$403,B363,$A$4:$A$403,"Plus one")&gt;C363-1,"More plus ones than party size",IF(AND(OR(D363="WhatsApp",D363="Both"),E363=""),"Add a phone number",IF(AND(OR(D363="Email",D363="Both"),F363=""),"Add an email",IF(AND(F363&lt;&gt;"",ISERROR(SEARCH("@",F363))),"Check the email","✓ Ready")))))))</f>
      </c>
      <c r="K363">
        <f>IF(A363="Plus one",K362,B363)</f>
      </c>
    </row>
    <row r="364" spans="1:11" x14ac:dyDescent="0.25">
      <c r="A364" s="16" t="s">
        <v>22</v>
      </c>
      <c r="B364" s="16"/>
      <c r="C364" s="17"/>
      <c r="D364" s="16"/>
      <c r="E364" s="18"/>
      <c r="F364" s="16"/>
      <c r="G364" s="16"/>
      <c r="H364" s="16"/>
      <c r="I364" s="16"/>
      <c r="J364" s="8">
        <f>IF(B364="",IF(AND(A364="Plus one",K364&lt;&gt;""),"↳ Plus one of "&amp;K364&amp;" (name TBC)",""),IF(A364="Plus one",IF(C364&lt;&gt;"","Leave party size empty",IF(K364="","Put it under a main guest","↳ Plus one of "&amp;K364)),IF(C364="","Add a party size",IF(COUNTIFS($K$4:$K$403,B364,$A$4:$A$403,"Plus one")&gt;C364-1,"More plus ones than party size",IF(AND(OR(D364="WhatsApp",D364="Both"),E364=""),"Add a phone number",IF(AND(OR(D364="Email",D364="Both"),F364=""),"Add an email",IF(AND(F364&lt;&gt;"",ISERROR(SEARCH("@",F364))),"Check the email","✓ Ready")))))))</f>
      </c>
      <c r="K364">
        <f>IF(A364="Plus one",K363,B364)</f>
      </c>
    </row>
    <row r="365" spans="1:11" x14ac:dyDescent="0.25">
      <c r="A365" s="13" t="s">
        <v>22</v>
      </c>
      <c r="B365" s="13"/>
      <c r="C365" s="14"/>
      <c r="D365" s="13"/>
      <c r="E365" s="15"/>
      <c r="F365" s="13"/>
      <c r="G365" s="13"/>
      <c r="H365" s="13"/>
      <c r="I365" s="13"/>
      <c r="J365" s="12">
        <f>IF(B365="",IF(AND(A365="Plus one",K365&lt;&gt;""),"↳ Plus one of "&amp;K365&amp;" (name TBC)",""),IF(A365="Plus one",IF(C365&lt;&gt;"","Leave party size empty",IF(K365="","Put it under a main guest","↳ Plus one of "&amp;K365)),IF(C365="","Add a party size",IF(COUNTIFS($K$4:$K$403,B365,$A$4:$A$403,"Plus one")&gt;C365-1,"More plus ones than party size",IF(AND(OR(D365="WhatsApp",D365="Both"),E365=""),"Add a phone number",IF(AND(OR(D365="Email",D365="Both"),F365=""),"Add an email",IF(AND(F365&lt;&gt;"",ISERROR(SEARCH("@",F365))),"Check the email","✓ Ready")))))))</f>
      </c>
      <c r="K365">
        <f>IF(A365="Plus one",K364,B365)</f>
      </c>
    </row>
    <row r="366" spans="1:11" x14ac:dyDescent="0.25">
      <c r="A366" s="16" t="s">
        <v>22</v>
      </c>
      <c r="B366" s="16"/>
      <c r="C366" s="17"/>
      <c r="D366" s="16"/>
      <c r="E366" s="18"/>
      <c r="F366" s="16"/>
      <c r="G366" s="16"/>
      <c r="H366" s="16"/>
      <c r="I366" s="16"/>
      <c r="J366" s="8">
        <f>IF(B366="",IF(AND(A366="Plus one",K366&lt;&gt;""),"↳ Plus one of "&amp;K366&amp;" (name TBC)",""),IF(A366="Plus one",IF(C366&lt;&gt;"","Leave party size empty",IF(K366="","Put it under a main guest","↳ Plus one of "&amp;K366)),IF(C366="","Add a party size",IF(COUNTIFS($K$4:$K$403,B366,$A$4:$A$403,"Plus one")&gt;C366-1,"More plus ones than party size",IF(AND(OR(D366="WhatsApp",D366="Both"),E366=""),"Add a phone number",IF(AND(OR(D366="Email",D366="Both"),F366=""),"Add an email",IF(AND(F366&lt;&gt;"",ISERROR(SEARCH("@",F366))),"Check the email","✓ Ready")))))))</f>
      </c>
      <c r="K366">
        <f>IF(A366="Plus one",K365,B366)</f>
      </c>
    </row>
    <row r="367" spans="1:11" x14ac:dyDescent="0.25">
      <c r="A367" s="13" t="s">
        <v>22</v>
      </c>
      <c r="B367" s="13"/>
      <c r="C367" s="14"/>
      <c r="D367" s="13"/>
      <c r="E367" s="15"/>
      <c r="F367" s="13"/>
      <c r="G367" s="13"/>
      <c r="H367" s="13"/>
      <c r="I367" s="13"/>
      <c r="J367" s="12">
        <f>IF(B367="",IF(AND(A367="Plus one",K367&lt;&gt;""),"↳ Plus one of "&amp;K367&amp;" (name TBC)",""),IF(A367="Plus one",IF(C367&lt;&gt;"","Leave party size empty",IF(K367="","Put it under a main guest","↳ Plus one of "&amp;K367)),IF(C367="","Add a party size",IF(COUNTIFS($K$4:$K$403,B367,$A$4:$A$403,"Plus one")&gt;C367-1,"More plus ones than party size",IF(AND(OR(D367="WhatsApp",D367="Both"),E367=""),"Add a phone number",IF(AND(OR(D367="Email",D367="Both"),F367=""),"Add an email",IF(AND(F367&lt;&gt;"",ISERROR(SEARCH("@",F367))),"Check the email","✓ Ready")))))))</f>
      </c>
      <c r="K367">
        <f>IF(A367="Plus one",K366,B367)</f>
      </c>
    </row>
    <row r="368" spans="1:11" x14ac:dyDescent="0.25">
      <c r="A368" s="16" t="s">
        <v>22</v>
      </c>
      <c r="B368" s="16"/>
      <c r="C368" s="17"/>
      <c r="D368" s="16"/>
      <c r="E368" s="18"/>
      <c r="F368" s="16"/>
      <c r="G368" s="16"/>
      <c r="H368" s="16"/>
      <c r="I368" s="16"/>
      <c r="J368" s="8">
        <f>IF(B368="",IF(AND(A368="Plus one",K368&lt;&gt;""),"↳ Plus one of "&amp;K368&amp;" (name TBC)",""),IF(A368="Plus one",IF(C368&lt;&gt;"","Leave party size empty",IF(K368="","Put it under a main guest","↳ Plus one of "&amp;K368)),IF(C368="","Add a party size",IF(COUNTIFS($K$4:$K$403,B368,$A$4:$A$403,"Plus one")&gt;C368-1,"More plus ones than party size",IF(AND(OR(D368="WhatsApp",D368="Both"),E368=""),"Add a phone number",IF(AND(OR(D368="Email",D368="Both"),F368=""),"Add an email",IF(AND(F368&lt;&gt;"",ISERROR(SEARCH("@",F368))),"Check the email","✓ Ready")))))))</f>
      </c>
      <c r="K368">
        <f>IF(A368="Plus one",K367,B368)</f>
      </c>
    </row>
    <row r="369" spans="1:11" x14ac:dyDescent="0.25">
      <c r="A369" s="13" t="s">
        <v>22</v>
      </c>
      <c r="B369" s="13"/>
      <c r="C369" s="14"/>
      <c r="D369" s="13"/>
      <c r="E369" s="15"/>
      <c r="F369" s="13"/>
      <c r="G369" s="13"/>
      <c r="H369" s="13"/>
      <c r="I369" s="13"/>
      <c r="J369" s="12">
        <f>IF(B369="",IF(AND(A369="Plus one",K369&lt;&gt;""),"↳ Plus one of "&amp;K369&amp;" (name TBC)",""),IF(A369="Plus one",IF(C369&lt;&gt;"","Leave party size empty",IF(K369="","Put it under a main guest","↳ Plus one of "&amp;K369)),IF(C369="","Add a party size",IF(COUNTIFS($K$4:$K$403,B369,$A$4:$A$403,"Plus one")&gt;C369-1,"More plus ones than party size",IF(AND(OR(D369="WhatsApp",D369="Both"),E369=""),"Add a phone number",IF(AND(OR(D369="Email",D369="Both"),F369=""),"Add an email",IF(AND(F369&lt;&gt;"",ISERROR(SEARCH("@",F369))),"Check the email","✓ Ready")))))))</f>
      </c>
      <c r="K369">
        <f>IF(A369="Plus one",K368,B369)</f>
      </c>
    </row>
    <row r="370" spans="1:11" x14ac:dyDescent="0.25">
      <c r="A370" s="16" t="s">
        <v>22</v>
      </c>
      <c r="B370" s="16"/>
      <c r="C370" s="17"/>
      <c r="D370" s="16"/>
      <c r="E370" s="18"/>
      <c r="F370" s="16"/>
      <c r="G370" s="16"/>
      <c r="H370" s="16"/>
      <c r="I370" s="16"/>
      <c r="J370" s="8">
        <f>IF(B370="",IF(AND(A370="Plus one",K370&lt;&gt;""),"↳ Plus one of "&amp;K370&amp;" (name TBC)",""),IF(A370="Plus one",IF(C370&lt;&gt;"","Leave party size empty",IF(K370="","Put it under a main guest","↳ Plus one of "&amp;K370)),IF(C370="","Add a party size",IF(COUNTIFS($K$4:$K$403,B370,$A$4:$A$403,"Plus one")&gt;C370-1,"More plus ones than party size",IF(AND(OR(D370="WhatsApp",D370="Both"),E370=""),"Add a phone number",IF(AND(OR(D370="Email",D370="Both"),F370=""),"Add an email",IF(AND(F370&lt;&gt;"",ISERROR(SEARCH("@",F370))),"Check the email","✓ Ready")))))))</f>
      </c>
      <c r="K370">
        <f>IF(A370="Plus one",K369,B370)</f>
      </c>
    </row>
    <row r="371" spans="1:11" x14ac:dyDescent="0.25">
      <c r="A371" s="13" t="s">
        <v>22</v>
      </c>
      <c r="B371" s="13"/>
      <c r="C371" s="14"/>
      <c r="D371" s="13"/>
      <c r="E371" s="15"/>
      <c r="F371" s="13"/>
      <c r="G371" s="13"/>
      <c r="H371" s="13"/>
      <c r="I371" s="13"/>
      <c r="J371" s="12">
        <f>IF(B371="",IF(AND(A371="Plus one",K371&lt;&gt;""),"↳ Plus one of "&amp;K371&amp;" (name TBC)",""),IF(A371="Plus one",IF(C371&lt;&gt;"","Leave party size empty",IF(K371="","Put it under a main guest","↳ Plus one of "&amp;K371)),IF(C371="","Add a party size",IF(COUNTIFS($K$4:$K$403,B371,$A$4:$A$403,"Plus one")&gt;C371-1,"More plus ones than party size",IF(AND(OR(D371="WhatsApp",D371="Both"),E371=""),"Add a phone number",IF(AND(OR(D371="Email",D371="Both"),F371=""),"Add an email",IF(AND(F371&lt;&gt;"",ISERROR(SEARCH("@",F371))),"Check the email","✓ Ready")))))))</f>
      </c>
      <c r="K371">
        <f>IF(A371="Plus one",K370,B371)</f>
      </c>
    </row>
    <row r="372" spans="1:11" x14ac:dyDescent="0.25">
      <c r="A372" s="16" t="s">
        <v>22</v>
      </c>
      <c r="B372" s="16"/>
      <c r="C372" s="17"/>
      <c r="D372" s="16"/>
      <c r="E372" s="18"/>
      <c r="F372" s="16"/>
      <c r="G372" s="16"/>
      <c r="H372" s="16"/>
      <c r="I372" s="16"/>
      <c r="J372" s="8">
        <f>IF(B372="",IF(AND(A372="Plus one",K372&lt;&gt;""),"↳ Plus one of "&amp;K372&amp;" (name TBC)",""),IF(A372="Plus one",IF(C372&lt;&gt;"","Leave party size empty",IF(K372="","Put it under a main guest","↳ Plus one of "&amp;K372)),IF(C372="","Add a party size",IF(COUNTIFS($K$4:$K$403,B372,$A$4:$A$403,"Plus one")&gt;C372-1,"More plus ones than party size",IF(AND(OR(D372="WhatsApp",D372="Both"),E372=""),"Add a phone number",IF(AND(OR(D372="Email",D372="Both"),F372=""),"Add an email",IF(AND(F372&lt;&gt;"",ISERROR(SEARCH("@",F372))),"Check the email","✓ Ready")))))))</f>
      </c>
      <c r="K372">
        <f>IF(A372="Plus one",K371,B372)</f>
      </c>
    </row>
    <row r="373" spans="1:11" x14ac:dyDescent="0.25">
      <c r="A373" s="13" t="s">
        <v>22</v>
      </c>
      <c r="B373" s="13"/>
      <c r="C373" s="14"/>
      <c r="D373" s="13"/>
      <c r="E373" s="15"/>
      <c r="F373" s="13"/>
      <c r="G373" s="13"/>
      <c r="H373" s="13"/>
      <c r="I373" s="13"/>
      <c r="J373" s="12">
        <f>IF(B373="",IF(AND(A373="Plus one",K373&lt;&gt;""),"↳ Plus one of "&amp;K373&amp;" (name TBC)",""),IF(A373="Plus one",IF(C373&lt;&gt;"","Leave party size empty",IF(K373="","Put it under a main guest","↳ Plus one of "&amp;K373)),IF(C373="","Add a party size",IF(COUNTIFS($K$4:$K$403,B373,$A$4:$A$403,"Plus one")&gt;C373-1,"More plus ones than party size",IF(AND(OR(D373="WhatsApp",D373="Both"),E373=""),"Add a phone number",IF(AND(OR(D373="Email",D373="Both"),F373=""),"Add an email",IF(AND(F373&lt;&gt;"",ISERROR(SEARCH("@",F373))),"Check the email","✓ Ready")))))))</f>
      </c>
      <c r="K373">
        <f>IF(A373="Plus one",K372,B373)</f>
      </c>
    </row>
    <row r="374" spans="1:11" x14ac:dyDescent="0.25">
      <c r="A374" s="16" t="s">
        <v>22</v>
      </c>
      <c r="B374" s="16"/>
      <c r="C374" s="17"/>
      <c r="D374" s="16"/>
      <c r="E374" s="18"/>
      <c r="F374" s="16"/>
      <c r="G374" s="16"/>
      <c r="H374" s="16"/>
      <c r="I374" s="16"/>
      <c r="J374" s="8">
        <f>IF(B374="",IF(AND(A374="Plus one",K374&lt;&gt;""),"↳ Plus one of "&amp;K374&amp;" (name TBC)",""),IF(A374="Plus one",IF(C374&lt;&gt;"","Leave party size empty",IF(K374="","Put it under a main guest","↳ Plus one of "&amp;K374)),IF(C374="","Add a party size",IF(COUNTIFS($K$4:$K$403,B374,$A$4:$A$403,"Plus one")&gt;C374-1,"More plus ones than party size",IF(AND(OR(D374="WhatsApp",D374="Both"),E374=""),"Add a phone number",IF(AND(OR(D374="Email",D374="Both"),F374=""),"Add an email",IF(AND(F374&lt;&gt;"",ISERROR(SEARCH("@",F374))),"Check the email","✓ Ready")))))))</f>
      </c>
      <c r="K374">
        <f>IF(A374="Plus one",K373,B374)</f>
      </c>
    </row>
    <row r="375" spans="1:11" x14ac:dyDescent="0.25">
      <c r="A375" s="13" t="s">
        <v>22</v>
      </c>
      <c r="B375" s="13"/>
      <c r="C375" s="14"/>
      <c r="D375" s="13"/>
      <c r="E375" s="15"/>
      <c r="F375" s="13"/>
      <c r="G375" s="13"/>
      <c r="H375" s="13"/>
      <c r="I375" s="13"/>
      <c r="J375" s="12">
        <f>IF(B375="",IF(AND(A375="Plus one",K375&lt;&gt;""),"↳ Plus one of "&amp;K375&amp;" (name TBC)",""),IF(A375="Plus one",IF(C375&lt;&gt;"","Leave party size empty",IF(K375="","Put it under a main guest","↳ Plus one of "&amp;K375)),IF(C375="","Add a party size",IF(COUNTIFS($K$4:$K$403,B375,$A$4:$A$403,"Plus one")&gt;C375-1,"More plus ones than party size",IF(AND(OR(D375="WhatsApp",D375="Both"),E375=""),"Add a phone number",IF(AND(OR(D375="Email",D375="Both"),F375=""),"Add an email",IF(AND(F375&lt;&gt;"",ISERROR(SEARCH("@",F375))),"Check the email","✓ Ready")))))))</f>
      </c>
      <c r="K375">
        <f>IF(A375="Plus one",K374,B375)</f>
      </c>
    </row>
    <row r="376" spans="1:11" x14ac:dyDescent="0.25">
      <c r="A376" s="16" t="s">
        <v>22</v>
      </c>
      <c r="B376" s="16"/>
      <c r="C376" s="17"/>
      <c r="D376" s="16"/>
      <c r="E376" s="18"/>
      <c r="F376" s="16"/>
      <c r="G376" s="16"/>
      <c r="H376" s="16"/>
      <c r="I376" s="16"/>
      <c r="J376" s="8">
        <f>IF(B376="",IF(AND(A376="Plus one",K376&lt;&gt;""),"↳ Plus one of "&amp;K376&amp;" (name TBC)",""),IF(A376="Plus one",IF(C376&lt;&gt;"","Leave party size empty",IF(K376="","Put it under a main guest","↳ Plus one of "&amp;K376)),IF(C376="","Add a party size",IF(COUNTIFS($K$4:$K$403,B376,$A$4:$A$403,"Plus one")&gt;C376-1,"More plus ones than party size",IF(AND(OR(D376="WhatsApp",D376="Both"),E376=""),"Add a phone number",IF(AND(OR(D376="Email",D376="Both"),F376=""),"Add an email",IF(AND(F376&lt;&gt;"",ISERROR(SEARCH("@",F376))),"Check the email","✓ Ready")))))))</f>
      </c>
      <c r="K376">
        <f>IF(A376="Plus one",K375,B376)</f>
      </c>
    </row>
    <row r="377" spans="1:11" x14ac:dyDescent="0.25">
      <c r="A377" s="13" t="s">
        <v>22</v>
      </c>
      <c r="B377" s="13"/>
      <c r="C377" s="14"/>
      <c r="D377" s="13"/>
      <c r="E377" s="15"/>
      <c r="F377" s="13"/>
      <c r="G377" s="13"/>
      <c r="H377" s="13"/>
      <c r="I377" s="13"/>
      <c r="J377" s="12">
        <f>IF(B377="",IF(AND(A377="Plus one",K377&lt;&gt;""),"↳ Plus one of "&amp;K377&amp;" (name TBC)",""),IF(A377="Plus one",IF(C377&lt;&gt;"","Leave party size empty",IF(K377="","Put it under a main guest","↳ Plus one of "&amp;K377)),IF(C377="","Add a party size",IF(COUNTIFS($K$4:$K$403,B377,$A$4:$A$403,"Plus one")&gt;C377-1,"More plus ones than party size",IF(AND(OR(D377="WhatsApp",D377="Both"),E377=""),"Add a phone number",IF(AND(OR(D377="Email",D377="Both"),F377=""),"Add an email",IF(AND(F377&lt;&gt;"",ISERROR(SEARCH("@",F377))),"Check the email","✓ Ready")))))))</f>
      </c>
      <c r="K377">
        <f>IF(A377="Plus one",K376,B377)</f>
      </c>
    </row>
    <row r="378" spans="1:11" x14ac:dyDescent="0.25">
      <c r="A378" s="16" t="s">
        <v>22</v>
      </c>
      <c r="B378" s="16"/>
      <c r="C378" s="17"/>
      <c r="D378" s="16"/>
      <c r="E378" s="18"/>
      <c r="F378" s="16"/>
      <c r="G378" s="16"/>
      <c r="H378" s="16"/>
      <c r="I378" s="16"/>
      <c r="J378" s="8">
        <f>IF(B378="",IF(AND(A378="Plus one",K378&lt;&gt;""),"↳ Plus one of "&amp;K378&amp;" (name TBC)",""),IF(A378="Plus one",IF(C378&lt;&gt;"","Leave party size empty",IF(K378="","Put it under a main guest","↳ Plus one of "&amp;K378)),IF(C378="","Add a party size",IF(COUNTIFS($K$4:$K$403,B378,$A$4:$A$403,"Plus one")&gt;C378-1,"More plus ones than party size",IF(AND(OR(D378="WhatsApp",D378="Both"),E378=""),"Add a phone number",IF(AND(OR(D378="Email",D378="Both"),F378=""),"Add an email",IF(AND(F378&lt;&gt;"",ISERROR(SEARCH("@",F378))),"Check the email","✓ Ready")))))))</f>
      </c>
      <c r="K378">
        <f>IF(A378="Plus one",K377,B378)</f>
      </c>
    </row>
    <row r="379" spans="1:11" x14ac:dyDescent="0.25">
      <c r="A379" s="13" t="s">
        <v>22</v>
      </c>
      <c r="B379" s="13"/>
      <c r="C379" s="14"/>
      <c r="D379" s="13"/>
      <c r="E379" s="15"/>
      <c r="F379" s="13"/>
      <c r="G379" s="13"/>
      <c r="H379" s="13"/>
      <c r="I379" s="13"/>
      <c r="J379" s="12">
        <f>IF(B379="",IF(AND(A379="Plus one",K379&lt;&gt;""),"↳ Plus one of "&amp;K379&amp;" (name TBC)",""),IF(A379="Plus one",IF(C379&lt;&gt;"","Leave party size empty",IF(K379="","Put it under a main guest","↳ Plus one of "&amp;K379)),IF(C379="","Add a party size",IF(COUNTIFS($K$4:$K$403,B379,$A$4:$A$403,"Plus one")&gt;C379-1,"More plus ones than party size",IF(AND(OR(D379="WhatsApp",D379="Both"),E379=""),"Add a phone number",IF(AND(OR(D379="Email",D379="Both"),F379=""),"Add an email",IF(AND(F379&lt;&gt;"",ISERROR(SEARCH("@",F379))),"Check the email","✓ Ready")))))))</f>
      </c>
      <c r="K379">
        <f>IF(A379="Plus one",K378,B379)</f>
      </c>
    </row>
    <row r="380" spans="1:11" x14ac:dyDescent="0.25">
      <c r="A380" s="16" t="s">
        <v>22</v>
      </c>
      <c r="B380" s="16"/>
      <c r="C380" s="17"/>
      <c r="D380" s="16"/>
      <c r="E380" s="18"/>
      <c r="F380" s="16"/>
      <c r="G380" s="16"/>
      <c r="H380" s="16"/>
      <c r="I380" s="16"/>
      <c r="J380" s="8">
        <f>IF(B380="",IF(AND(A380="Plus one",K380&lt;&gt;""),"↳ Plus one of "&amp;K380&amp;" (name TBC)",""),IF(A380="Plus one",IF(C380&lt;&gt;"","Leave party size empty",IF(K380="","Put it under a main guest","↳ Plus one of "&amp;K380)),IF(C380="","Add a party size",IF(COUNTIFS($K$4:$K$403,B380,$A$4:$A$403,"Plus one")&gt;C380-1,"More plus ones than party size",IF(AND(OR(D380="WhatsApp",D380="Both"),E380=""),"Add a phone number",IF(AND(OR(D380="Email",D380="Both"),F380=""),"Add an email",IF(AND(F380&lt;&gt;"",ISERROR(SEARCH("@",F380))),"Check the email","✓ Ready")))))))</f>
      </c>
      <c r="K380">
        <f>IF(A380="Plus one",K379,B380)</f>
      </c>
    </row>
    <row r="381" spans="1:11" x14ac:dyDescent="0.25">
      <c r="A381" s="13" t="s">
        <v>22</v>
      </c>
      <c r="B381" s="13"/>
      <c r="C381" s="14"/>
      <c r="D381" s="13"/>
      <c r="E381" s="15"/>
      <c r="F381" s="13"/>
      <c r="G381" s="13"/>
      <c r="H381" s="13"/>
      <c r="I381" s="13"/>
      <c r="J381" s="12">
        <f>IF(B381="",IF(AND(A381="Plus one",K381&lt;&gt;""),"↳ Plus one of "&amp;K381&amp;" (name TBC)",""),IF(A381="Plus one",IF(C381&lt;&gt;"","Leave party size empty",IF(K381="","Put it under a main guest","↳ Plus one of "&amp;K381)),IF(C381="","Add a party size",IF(COUNTIFS($K$4:$K$403,B381,$A$4:$A$403,"Plus one")&gt;C381-1,"More plus ones than party size",IF(AND(OR(D381="WhatsApp",D381="Both"),E381=""),"Add a phone number",IF(AND(OR(D381="Email",D381="Both"),F381=""),"Add an email",IF(AND(F381&lt;&gt;"",ISERROR(SEARCH("@",F381))),"Check the email","✓ Ready")))))))</f>
      </c>
      <c r="K381">
        <f>IF(A381="Plus one",K380,B381)</f>
      </c>
    </row>
    <row r="382" spans="1:11" x14ac:dyDescent="0.25">
      <c r="A382" s="16" t="s">
        <v>22</v>
      </c>
      <c r="B382" s="16"/>
      <c r="C382" s="17"/>
      <c r="D382" s="16"/>
      <c r="E382" s="18"/>
      <c r="F382" s="16"/>
      <c r="G382" s="16"/>
      <c r="H382" s="16"/>
      <c r="I382" s="16"/>
      <c r="J382" s="8">
        <f>IF(B382="",IF(AND(A382="Plus one",K382&lt;&gt;""),"↳ Plus one of "&amp;K382&amp;" (name TBC)",""),IF(A382="Plus one",IF(C382&lt;&gt;"","Leave party size empty",IF(K382="","Put it under a main guest","↳ Plus one of "&amp;K382)),IF(C382="","Add a party size",IF(COUNTIFS($K$4:$K$403,B382,$A$4:$A$403,"Plus one")&gt;C382-1,"More plus ones than party size",IF(AND(OR(D382="WhatsApp",D382="Both"),E382=""),"Add a phone number",IF(AND(OR(D382="Email",D382="Both"),F382=""),"Add an email",IF(AND(F382&lt;&gt;"",ISERROR(SEARCH("@",F382))),"Check the email","✓ Ready")))))))</f>
      </c>
      <c r="K382">
        <f>IF(A382="Plus one",K381,B382)</f>
      </c>
    </row>
    <row r="383" spans="1:11" x14ac:dyDescent="0.25">
      <c r="A383" s="13" t="s">
        <v>22</v>
      </c>
      <c r="B383" s="13"/>
      <c r="C383" s="14"/>
      <c r="D383" s="13"/>
      <c r="E383" s="15"/>
      <c r="F383" s="13"/>
      <c r="G383" s="13"/>
      <c r="H383" s="13"/>
      <c r="I383" s="13"/>
      <c r="J383" s="12">
        <f>IF(B383="",IF(AND(A383="Plus one",K383&lt;&gt;""),"↳ Plus one of "&amp;K383&amp;" (name TBC)",""),IF(A383="Plus one",IF(C383&lt;&gt;"","Leave party size empty",IF(K383="","Put it under a main guest","↳ Plus one of "&amp;K383)),IF(C383="","Add a party size",IF(COUNTIFS($K$4:$K$403,B383,$A$4:$A$403,"Plus one")&gt;C383-1,"More plus ones than party size",IF(AND(OR(D383="WhatsApp",D383="Both"),E383=""),"Add a phone number",IF(AND(OR(D383="Email",D383="Both"),F383=""),"Add an email",IF(AND(F383&lt;&gt;"",ISERROR(SEARCH("@",F383))),"Check the email","✓ Ready")))))))</f>
      </c>
      <c r="K383">
        <f>IF(A383="Plus one",K382,B383)</f>
      </c>
    </row>
    <row r="384" spans="1:11" x14ac:dyDescent="0.25">
      <c r="A384" s="16" t="s">
        <v>22</v>
      </c>
      <c r="B384" s="16"/>
      <c r="C384" s="17"/>
      <c r="D384" s="16"/>
      <c r="E384" s="18"/>
      <c r="F384" s="16"/>
      <c r="G384" s="16"/>
      <c r="H384" s="16"/>
      <c r="I384" s="16"/>
      <c r="J384" s="8">
        <f>IF(B384="",IF(AND(A384="Plus one",K384&lt;&gt;""),"↳ Plus one of "&amp;K384&amp;" (name TBC)",""),IF(A384="Plus one",IF(C384&lt;&gt;"","Leave party size empty",IF(K384="","Put it under a main guest","↳ Plus one of "&amp;K384)),IF(C384="","Add a party size",IF(COUNTIFS($K$4:$K$403,B384,$A$4:$A$403,"Plus one")&gt;C384-1,"More plus ones than party size",IF(AND(OR(D384="WhatsApp",D384="Both"),E384=""),"Add a phone number",IF(AND(OR(D384="Email",D384="Both"),F384=""),"Add an email",IF(AND(F384&lt;&gt;"",ISERROR(SEARCH("@",F384))),"Check the email","✓ Ready")))))))</f>
      </c>
      <c r="K384">
        <f>IF(A384="Plus one",K383,B384)</f>
      </c>
    </row>
    <row r="385" spans="1:11" x14ac:dyDescent="0.25">
      <c r="A385" s="13" t="s">
        <v>22</v>
      </c>
      <c r="B385" s="13"/>
      <c r="C385" s="14"/>
      <c r="D385" s="13"/>
      <c r="E385" s="15"/>
      <c r="F385" s="13"/>
      <c r="G385" s="13"/>
      <c r="H385" s="13"/>
      <c r="I385" s="13"/>
      <c r="J385" s="12">
        <f>IF(B385="",IF(AND(A385="Plus one",K385&lt;&gt;""),"↳ Plus one of "&amp;K385&amp;" (name TBC)",""),IF(A385="Plus one",IF(C385&lt;&gt;"","Leave party size empty",IF(K385="","Put it under a main guest","↳ Plus one of "&amp;K385)),IF(C385="","Add a party size",IF(COUNTIFS($K$4:$K$403,B385,$A$4:$A$403,"Plus one")&gt;C385-1,"More plus ones than party size",IF(AND(OR(D385="WhatsApp",D385="Both"),E385=""),"Add a phone number",IF(AND(OR(D385="Email",D385="Both"),F385=""),"Add an email",IF(AND(F385&lt;&gt;"",ISERROR(SEARCH("@",F385))),"Check the email","✓ Ready")))))))</f>
      </c>
      <c r="K385">
        <f>IF(A385="Plus one",K384,B385)</f>
      </c>
    </row>
    <row r="386" spans="1:11" x14ac:dyDescent="0.25">
      <c r="A386" s="16" t="s">
        <v>22</v>
      </c>
      <c r="B386" s="16"/>
      <c r="C386" s="17"/>
      <c r="D386" s="16"/>
      <c r="E386" s="18"/>
      <c r="F386" s="16"/>
      <c r="G386" s="16"/>
      <c r="H386" s="16"/>
      <c r="I386" s="16"/>
      <c r="J386" s="8">
        <f>IF(B386="",IF(AND(A386="Plus one",K386&lt;&gt;""),"↳ Plus one of "&amp;K386&amp;" (name TBC)",""),IF(A386="Plus one",IF(C386&lt;&gt;"","Leave party size empty",IF(K386="","Put it under a main guest","↳ Plus one of "&amp;K386)),IF(C386="","Add a party size",IF(COUNTIFS($K$4:$K$403,B386,$A$4:$A$403,"Plus one")&gt;C386-1,"More plus ones than party size",IF(AND(OR(D386="WhatsApp",D386="Both"),E386=""),"Add a phone number",IF(AND(OR(D386="Email",D386="Both"),F386=""),"Add an email",IF(AND(F386&lt;&gt;"",ISERROR(SEARCH("@",F386))),"Check the email","✓ Ready")))))))</f>
      </c>
      <c r="K386">
        <f>IF(A386="Plus one",K385,B386)</f>
      </c>
    </row>
    <row r="387" spans="1:11" x14ac:dyDescent="0.25">
      <c r="A387" s="13" t="s">
        <v>22</v>
      </c>
      <c r="B387" s="13"/>
      <c r="C387" s="14"/>
      <c r="D387" s="13"/>
      <c r="E387" s="15"/>
      <c r="F387" s="13"/>
      <c r="G387" s="13"/>
      <c r="H387" s="13"/>
      <c r="I387" s="13"/>
      <c r="J387" s="12">
        <f>IF(B387="",IF(AND(A387="Plus one",K387&lt;&gt;""),"↳ Plus one of "&amp;K387&amp;" (name TBC)",""),IF(A387="Plus one",IF(C387&lt;&gt;"","Leave party size empty",IF(K387="","Put it under a main guest","↳ Plus one of "&amp;K387)),IF(C387="","Add a party size",IF(COUNTIFS($K$4:$K$403,B387,$A$4:$A$403,"Plus one")&gt;C387-1,"More plus ones than party size",IF(AND(OR(D387="WhatsApp",D387="Both"),E387=""),"Add a phone number",IF(AND(OR(D387="Email",D387="Both"),F387=""),"Add an email",IF(AND(F387&lt;&gt;"",ISERROR(SEARCH("@",F387))),"Check the email","✓ Ready")))))))</f>
      </c>
      <c r="K387">
        <f>IF(A387="Plus one",K386,B387)</f>
      </c>
    </row>
    <row r="388" spans="1:11" x14ac:dyDescent="0.25">
      <c r="A388" s="16" t="s">
        <v>22</v>
      </c>
      <c r="B388" s="16"/>
      <c r="C388" s="17"/>
      <c r="D388" s="16"/>
      <c r="E388" s="18"/>
      <c r="F388" s="16"/>
      <c r="G388" s="16"/>
      <c r="H388" s="16"/>
      <c r="I388" s="16"/>
      <c r="J388" s="8">
        <f>IF(B388="",IF(AND(A388="Plus one",K388&lt;&gt;""),"↳ Plus one of "&amp;K388&amp;" (name TBC)",""),IF(A388="Plus one",IF(C388&lt;&gt;"","Leave party size empty",IF(K388="","Put it under a main guest","↳ Plus one of "&amp;K388)),IF(C388="","Add a party size",IF(COUNTIFS($K$4:$K$403,B388,$A$4:$A$403,"Plus one")&gt;C388-1,"More plus ones than party size",IF(AND(OR(D388="WhatsApp",D388="Both"),E388=""),"Add a phone number",IF(AND(OR(D388="Email",D388="Both"),F388=""),"Add an email",IF(AND(F388&lt;&gt;"",ISERROR(SEARCH("@",F388))),"Check the email","✓ Ready")))))))</f>
      </c>
      <c r="K388">
        <f>IF(A388="Plus one",K387,B388)</f>
      </c>
    </row>
    <row r="389" spans="1:11" x14ac:dyDescent="0.25">
      <c r="A389" s="13" t="s">
        <v>22</v>
      </c>
      <c r="B389" s="13"/>
      <c r="C389" s="14"/>
      <c r="D389" s="13"/>
      <c r="E389" s="15"/>
      <c r="F389" s="13"/>
      <c r="G389" s="13"/>
      <c r="H389" s="13"/>
      <c r="I389" s="13"/>
      <c r="J389" s="12">
        <f>IF(B389="",IF(AND(A389="Plus one",K389&lt;&gt;""),"↳ Plus one of "&amp;K389&amp;" (name TBC)",""),IF(A389="Plus one",IF(C389&lt;&gt;"","Leave party size empty",IF(K389="","Put it under a main guest","↳ Plus one of "&amp;K389)),IF(C389="","Add a party size",IF(COUNTIFS($K$4:$K$403,B389,$A$4:$A$403,"Plus one")&gt;C389-1,"More plus ones than party size",IF(AND(OR(D389="WhatsApp",D389="Both"),E389=""),"Add a phone number",IF(AND(OR(D389="Email",D389="Both"),F389=""),"Add an email",IF(AND(F389&lt;&gt;"",ISERROR(SEARCH("@",F389))),"Check the email","✓ Ready")))))))</f>
      </c>
      <c r="K389">
        <f>IF(A389="Plus one",K388,B389)</f>
      </c>
    </row>
    <row r="390" spans="1:11" x14ac:dyDescent="0.25">
      <c r="A390" s="16" t="s">
        <v>22</v>
      </c>
      <c r="B390" s="16"/>
      <c r="C390" s="17"/>
      <c r="D390" s="16"/>
      <c r="E390" s="18"/>
      <c r="F390" s="16"/>
      <c r="G390" s="16"/>
      <c r="H390" s="16"/>
      <c r="I390" s="16"/>
      <c r="J390" s="8">
        <f>IF(B390="",IF(AND(A390="Plus one",K390&lt;&gt;""),"↳ Plus one of "&amp;K390&amp;" (name TBC)",""),IF(A390="Plus one",IF(C390&lt;&gt;"","Leave party size empty",IF(K390="","Put it under a main guest","↳ Plus one of "&amp;K390)),IF(C390="","Add a party size",IF(COUNTIFS($K$4:$K$403,B390,$A$4:$A$403,"Plus one")&gt;C390-1,"More plus ones than party size",IF(AND(OR(D390="WhatsApp",D390="Both"),E390=""),"Add a phone number",IF(AND(OR(D390="Email",D390="Both"),F390=""),"Add an email",IF(AND(F390&lt;&gt;"",ISERROR(SEARCH("@",F390))),"Check the email","✓ Ready")))))))</f>
      </c>
      <c r="K390">
        <f>IF(A390="Plus one",K389,B390)</f>
      </c>
    </row>
    <row r="391" spans="1:11" x14ac:dyDescent="0.25">
      <c r="A391" s="13" t="s">
        <v>22</v>
      </c>
      <c r="B391" s="13"/>
      <c r="C391" s="14"/>
      <c r="D391" s="13"/>
      <c r="E391" s="15"/>
      <c r="F391" s="13"/>
      <c r="G391" s="13"/>
      <c r="H391" s="13"/>
      <c r="I391" s="13"/>
      <c r="J391" s="12">
        <f>IF(B391="",IF(AND(A391="Plus one",K391&lt;&gt;""),"↳ Plus one of "&amp;K391&amp;" (name TBC)",""),IF(A391="Plus one",IF(C391&lt;&gt;"","Leave party size empty",IF(K391="","Put it under a main guest","↳ Plus one of "&amp;K391)),IF(C391="","Add a party size",IF(COUNTIFS($K$4:$K$403,B391,$A$4:$A$403,"Plus one")&gt;C391-1,"More plus ones than party size",IF(AND(OR(D391="WhatsApp",D391="Both"),E391=""),"Add a phone number",IF(AND(OR(D391="Email",D391="Both"),F391=""),"Add an email",IF(AND(F391&lt;&gt;"",ISERROR(SEARCH("@",F391))),"Check the email","✓ Ready")))))))</f>
      </c>
      <c r="K391">
        <f>IF(A391="Plus one",K390,B391)</f>
      </c>
    </row>
    <row r="392" spans="1:11" x14ac:dyDescent="0.25">
      <c r="A392" s="16" t="s">
        <v>22</v>
      </c>
      <c r="B392" s="16"/>
      <c r="C392" s="17"/>
      <c r="D392" s="16"/>
      <c r="E392" s="18"/>
      <c r="F392" s="16"/>
      <c r="G392" s="16"/>
      <c r="H392" s="16"/>
      <c r="I392" s="16"/>
      <c r="J392" s="8">
        <f>IF(B392="",IF(AND(A392="Plus one",K392&lt;&gt;""),"↳ Plus one of "&amp;K392&amp;" (name TBC)",""),IF(A392="Plus one",IF(C392&lt;&gt;"","Leave party size empty",IF(K392="","Put it under a main guest","↳ Plus one of "&amp;K392)),IF(C392="","Add a party size",IF(COUNTIFS($K$4:$K$403,B392,$A$4:$A$403,"Plus one")&gt;C392-1,"More plus ones than party size",IF(AND(OR(D392="WhatsApp",D392="Both"),E392=""),"Add a phone number",IF(AND(OR(D392="Email",D392="Both"),F392=""),"Add an email",IF(AND(F392&lt;&gt;"",ISERROR(SEARCH("@",F392))),"Check the email","✓ Ready")))))))</f>
      </c>
      <c r="K392">
        <f>IF(A392="Plus one",K391,B392)</f>
      </c>
    </row>
    <row r="393" spans="1:11" x14ac:dyDescent="0.25">
      <c r="A393" s="13" t="s">
        <v>22</v>
      </c>
      <c r="B393" s="13"/>
      <c r="C393" s="14"/>
      <c r="D393" s="13"/>
      <c r="E393" s="15"/>
      <c r="F393" s="13"/>
      <c r="G393" s="13"/>
      <c r="H393" s="13"/>
      <c r="I393" s="13"/>
      <c r="J393" s="12">
        <f>IF(B393="",IF(AND(A393="Plus one",K393&lt;&gt;""),"↳ Plus one of "&amp;K393&amp;" (name TBC)",""),IF(A393="Plus one",IF(C393&lt;&gt;"","Leave party size empty",IF(K393="","Put it under a main guest","↳ Plus one of "&amp;K393)),IF(C393="","Add a party size",IF(COUNTIFS($K$4:$K$403,B393,$A$4:$A$403,"Plus one")&gt;C393-1,"More plus ones than party size",IF(AND(OR(D393="WhatsApp",D393="Both"),E393=""),"Add a phone number",IF(AND(OR(D393="Email",D393="Both"),F393=""),"Add an email",IF(AND(F393&lt;&gt;"",ISERROR(SEARCH("@",F393))),"Check the email","✓ Ready")))))))</f>
      </c>
      <c r="K393">
        <f>IF(A393="Plus one",K392,B393)</f>
      </c>
    </row>
    <row r="394" spans="1:11" x14ac:dyDescent="0.25">
      <c r="A394" s="16" t="s">
        <v>22</v>
      </c>
      <c r="B394" s="16"/>
      <c r="C394" s="17"/>
      <c r="D394" s="16"/>
      <c r="E394" s="18"/>
      <c r="F394" s="16"/>
      <c r="G394" s="16"/>
      <c r="H394" s="16"/>
      <c r="I394" s="16"/>
      <c r="J394" s="8">
        <f>IF(B394="",IF(AND(A394="Plus one",K394&lt;&gt;""),"↳ Plus one of "&amp;K394&amp;" (name TBC)",""),IF(A394="Plus one",IF(C394&lt;&gt;"","Leave party size empty",IF(K394="","Put it under a main guest","↳ Plus one of "&amp;K394)),IF(C394="","Add a party size",IF(COUNTIFS($K$4:$K$403,B394,$A$4:$A$403,"Plus one")&gt;C394-1,"More plus ones than party size",IF(AND(OR(D394="WhatsApp",D394="Both"),E394=""),"Add a phone number",IF(AND(OR(D394="Email",D394="Both"),F394=""),"Add an email",IF(AND(F394&lt;&gt;"",ISERROR(SEARCH("@",F394))),"Check the email","✓ Ready")))))))</f>
      </c>
      <c r="K394">
        <f>IF(A394="Plus one",K393,B394)</f>
      </c>
    </row>
    <row r="395" spans="1:11" x14ac:dyDescent="0.25">
      <c r="A395" s="13" t="s">
        <v>22</v>
      </c>
      <c r="B395" s="13"/>
      <c r="C395" s="14"/>
      <c r="D395" s="13"/>
      <c r="E395" s="15"/>
      <c r="F395" s="13"/>
      <c r="G395" s="13"/>
      <c r="H395" s="13"/>
      <c r="I395" s="13"/>
      <c r="J395" s="12">
        <f>IF(B395="",IF(AND(A395="Plus one",K395&lt;&gt;""),"↳ Plus one of "&amp;K395&amp;" (name TBC)",""),IF(A395="Plus one",IF(C395&lt;&gt;"","Leave party size empty",IF(K395="","Put it under a main guest","↳ Plus one of "&amp;K395)),IF(C395="","Add a party size",IF(COUNTIFS($K$4:$K$403,B395,$A$4:$A$403,"Plus one")&gt;C395-1,"More plus ones than party size",IF(AND(OR(D395="WhatsApp",D395="Both"),E395=""),"Add a phone number",IF(AND(OR(D395="Email",D395="Both"),F395=""),"Add an email",IF(AND(F395&lt;&gt;"",ISERROR(SEARCH("@",F395))),"Check the email","✓ Ready")))))))</f>
      </c>
      <c r="K395">
        <f>IF(A395="Plus one",K394,B395)</f>
      </c>
    </row>
    <row r="396" spans="1:11" x14ac:dyDescent="0.25">
      <c r="A396" s="16" t="s">
        <v>22</v>
      </c>
      <c r="B396" s="16"/>
      <c r="C396" s="17"/>
      <c r="D396" s="16"/>
      <c r="E396" s="18"/>
      <c r="F396" s="16"/>
      <c r="G396" s="16"/>
      <c r="H396" s="16"/>
      <c r="I396" s="16"/>
      <c r="J396" s="8">
        <f>IF(B396="",IF(AND(A396="Plus one",K396&lt;&gt;""),"↳ Plus one of "&amp;K396&amp;" (name TBC)",""),IF(A396="Plus one",IF(C396&lt;&gt;"","Leave party size empty",IF(K396="","Put it under a main guest","↳ Plus one of "&amp;K396)),IF(C396="","Add a party size",IF(COUNTIFS($K$4:$K$403,B396,$A$4:$A$403,"Plus one")&gt;C396-1,"More plus ones than party size",IF(AND(OR(D396="WhatsApp",D396="Both"),E396=""),"Add a phone number",IF(AND(OR(D396="Email",D396="Both"),F396=""),"Add an email",IF(AND(F396&lt;&gt;"",ISERROR(SEARCH("@",F396))),"Check the email","✓ Ready")))))))</f>
      </c>
      <c r="K396">
        <f>IF(A396="Plus one",K395,B396)</f>
      </c>
    </row>
    <row r="397" spans="1:11" x14ac:dyDescent="0.25">
      <c r="A397" s="13" t="s">
        <v>22</v>
      </c>
      <c r="B397" s="13"/>
      <c r="C397" s="14"/>
      <c r="D397" s="13"/>
      <c r="E397" s="15"/>
      <c r="F397" s="13"/>
      <c r="G397" s="13"/>
      <c r="H397" s="13"/>
      <c r="I397" s="13"/>
      <c r="J397" s="12">
        <f>IF(B397="",IF(AND(A397="Plus one",K397&lt;&gt;""),"↳ Plus one of "&amp;K397&amp;" (name TBC)",""),IF(A397="Plus one",IF(C397&lt;&gt;"","Leave party size empty",IF(K397="","Put it under a main guest","↳ Plus one of "&amp;K397)),IF(C397="","Add a party size",IF(COUNTIFS($K$4:$K$403,B397,$A$4:$A$403,"Plus one")&gt;C397-1,"More plus ones than party size",IF(AND(OR(D397="WhatsApp",D397="Both"),E397=""),"Add a phone number",IF(AND(OR(D397="Email",D397="Both"),F397=""),"Add an email",IF(AND(F397&lt;&gt;"",ISERROR(SEARCH("@",F397))),"Check the email","✓ Ready")))))))</f>
      </c>
      <c r="K397">
        <f>IF(A397="Plus one",K396,B397)</f>
      </c>
    </row>
    <row r="398" spans="1:11" x14ac:dyDescent="0.25">
      <c r="A398" s="16" t="s">
        <v>22</v>
      </c>
      <c r="B398" s="16"/>
      <c r="C398" s="17"/>
      <c r="D398" s="16"/>
      <c r="E398" s="18"/>
      <c r="F398" s="16"/>
      <c r="G398" s="16"/>
      <c r="H398" s="16"/>
      <c r="I398" s="16"/>
      <c r="J398" s="8">
        <f>IF(B398="",IF(AND(A398="Plus one",K398&lt;&gt;""),"↳ Plus one of "&amp;K398&amp;" (name TBC)",""),IF(A398="Plus one",IF(C398&lt;&gt;"","Leave party size empty",IF(K398="","Put it under a main guest","↳ Plus one of "&amp;K398)),IF(C398="","Add a party size",IF(COUNTIFS($K$4:$K$403,B398,$A$4:$A$403,"Plus one")&gt;C398-1,"More plus ones than party size",IF(AND(OR(D398="WhatsApp",D398="Both"),E398=""),"Add a phone number",IF(AND(OR(D398="Email",D398="Both"),F398=""),"Add an email",IF(AND(F398&lt;&gt;"",ISERROR(SEARCH("@",F398))),"Check the email","✓ Ready")))))))</f>
      </c>
      <c r="K398">
        <f>IF(A398="Plus one",K397,B398)</f>
      </c>
    </row>
    <row r="399" spans="1:11" x14ac:dyDescent="0.25">
      <c r="A399" s="13" t="s">
        <v>22</v>
      </c>
      <c r="B399" s="13"/>
      <c r="C399" s="14"/>
      <c r="D399" s="13"/>
      <c r="E399" s="15"/>
      <c r="F399" s="13"/>
      <c r="G399" s="13"/>
      <c r="H399" s="13"/>
      <c r="I399" s="13"/>
      <c r="J399" s="12">
        <f>IF(B399="",IF(AND(A399="Plus one",K399&lt;&gt;""),"↳ Plus one of "&amp;K399&amp;" (name TBC)",""),IF(A399="Plus one",IF(C399&lt;&gt;"","Leave party size empty",IF(K399="","Put it under a main guest","↳ Plus one of "&amp;K399)),IF(C399="","Add a party size",IF(COUNTIFS($K$4:$K$403,B399,$A$4:$A$403,"Plus one")&gt;C399-1,"More plus ones than party size",IF(AND(OR(D399="WhatsApp",D399="Both"),E399=""),"Add a phone number",IF(AND(OR(D399="Email",D399="Both"),F399=""),"Add an email",IF(AND(F399&lt;&gt;"",ISERROR(SEARCH("@",F399))),"Check the email","✓ Ready")))))))</f>
      </c>
      <c r="K399">
        <f>IF(A399="Plus one",K398,B399)</f>
      </c>
    </row>
    <row r="400" spans="1:11" x14ac:dyDescent="0.25">
      <c r="A400" s="16" t="s">
        <v>22</v>
      </c>
      <c r="B400" s="16"/>
      <c r="C400" s="17"/>
      <c r="D400" s="16"/>
      <c r="E400" s="18"/>
      <c r="F400" s="16"/>
      <c r="G400" s="16"/>
      <c r="H400" s="16"/>
      <c r="I400" s="16"/>
      <c r="J400" s="8">
        <f>IF(B400="",IF(AND(A400="Plus one",K400&lt;&gt;""),"↳ Plus one of "&amp;K400&amp;" (name TBC)",""),IF(A400="Plus one",IF(C400&lt;&gt;"","Leave party size empty",IF(K400="","Put it under a main guest","↳ Plus one of "&amp;K400)),IF(C400="","Add a party size",IF(COUNTIFS($K$4:$K$403,B400,$A$4:$A$403,"Plus one")&gt;C400-1,"More plus ones than party size",IF(AND(OR(D400="WhatsApp",D400="Both"),E400=""),"Add a phone number",IF(AND(OR(D400="Email",D400="Both"),F400=""),"Add an email",IF(AND(F400&lt;&gt;"",ISERROR(SEARCH("@",F400))),"Check the email","✓ Ready")))))))</f>
      </c>
      <c r="K400">
        <f>IF(A400="Plus one",K399,B400)</f>
      </c>
    </row>
    <row r="401" spans="1:11" x14ac:dyDescent="0.25">
      <c r="A401" s="13" t="s">
        <v>22</v>
      </c>
      <c r="B401" s="13"/>
      <c r="C401" s="14"/>
      <c r="D401" s="13"/>
      <c r="E401" s="15"/>
      <c r="F401" s="13"/>
      <c r="G401" s="13"/>
      <c r="H401" s="13"/>
      <c r="I401" s="13"/>
      <c r="J401" s="12">
        <f>IF(B401="",IF(AND(A401="Plus one",K401&lt;&gt;""),"↳ Plus one of "&amp;K401&amp;" (name TBC)",""),IF(A401="Plus one",IF(C401&lt;&gt;"","Leave party size empty",IF(K401="","Put it under a main guest","↳ Plus one of "&amp;K401)),IF(C401="","Add a party size",IF(COUNTIFS($K$4:$K$403,B401,$A$4:$A$403,"Plus one")&gt;C401-1,"More plus ones than party size",IF(AND(OR(D401="WhatsApp",D401="Both"),E401=""),"Add a phone number",IF(AND(OR(D401="Email",D401="Both"),F401=""),"Add an email",IF(AND(F401&lt;&gt;"",ISERROR(SEARCH("@",F401))),"Check the email","✓ Ready")))))))</f>
      </c>
      <c r="K401">
        <f>IF(A401="Plus one",K400,B401)</f>
      </c>
    </row>
    <row r="402" spans="1:11" x14ac:dyDescent="0.25">
      <c r="A402" s="16" t="s">
        <v>22</v>
      </c>
      <c r="B402" s="16"/>
      <c r="C402" s="17"/>
      <c r="D402" s="16"/>
      <c r="E402" s="18"/>
      <c r="F402" s="16"/>
      <c r="G402" s="16"/>
      <c r="H402" s="16"/>
      <c r="I402" s="16"/>
      <c r="J402" s="8">
        <f>IF(B402="",IF(AND(A402="Plus one",K402&lt;&gt;""),"↳ Plus one of "&amp;K402&amp;" (name TBC)",""),IF(A402="Plus one",IF(C402&lt;&gt;"","Leave party size empty",IF(K402="","Put it under a main guest","↳ Plus one of "&amp;K402)),IF(C402="","Add a party size",IF(COUNTIFS($K$4:$K$403,B402,$A$4:$A$403,"Plus one")&gt;C402-1,"More plus ones than party size",IF(AND(OR(D402="WhatsApp",D402="Both"),E402=""),"Add a phone number",IF(AND(OR(D402="Email",D402="Both"),F402=""),"Add an email",IF(AND(F402&lt;&gt;"",ISERROR(SEARCH("@",F402))),"Check the email","✓ Ready")))))))</f>
      </c>
      <c r="K402">
        <f>IF(A402="Plus one",K401,B402)</f>
      </c>
    </row>
    <row r="403" spans="1:11" x14ac:dyDescent="0.25">
      <c r="A403" s="13" t="s">
        <v>22</v>
      </c>
      <c r="B403" s="13"/>
      <c r="C403" s="14"/>
      <c r="D403" s="13"/>
      <c r="E403" s="15"/>
      <c r="F403" s="13"/>
      <c r="G403" s="13"/>
      <c r="H403" s="13"/>
      <c r="I403" s="13"/>
      <c r="J403" s="12">
        <f>IF(B403="",IF(AND(A403="Plus one",K403&lt;&gt;""),"↳ Plus one of "&amp;K403&amp;" (name TBC)",""),IF(A403="Plus one",IF(C403&lt;&gt;"","Leave party size empty",IF(K403="","Put it under a main guest","↳ Plus one of "&amp;K403)),IF(C403="","Add a party size",IF(COUNTIFS($K$4:$K$403,B403,$A$4:$A$403,"Plus one")&gt;C403-1,"More plus ones than party size",IF(AND(OR(D403="WhatsApp",D403="Both"),E403=""),"Add a phone number",IF(AND(OR(D403="Email",D403="Both"),F403=""),"Add an email",IF(AND(F403&lt;&gt;"",ISERROR(SEARCH("@",F403))),"Check the email","✓ Ready")))))))</f>
      </c>
      <c r="K403">
        <f>IF(A403="Plus one",K402,B403)</f>
      </c>
    </row>
  </sheetData>
  <autoFilter ref="A3:J403"/>
  <mergeCells count="2">
    <mergeCell ref="A1:E1"/>
    <mergeCell ref="F1:J1"/>
  </mergeCells>
  <conditionalFormatting sqref="A4:I403">
    <cfRule type="expression" dxfId="0" priority="1">
      <formula>$A4="Plus one"</formula>
    </cfRule>
  </conditionalFormatting>
  <conditionalFormatting sqref="J4:J403">
    <cfRule type="containsText" dxfId="1" priority="2">
      <formula>NOT(ISERROR(SEARCH("Plus one of",J4)))</formula>
    </cfRule>
    <cfRule type="containsText" dxfId="2" priority="3">
      <formula>NOT(ISERROR(SEARCH("Ready",J4)))</formula>
    </cfRule>
    <cfRule type="expression" dxfId="3" priority="4">
      <formula>AND($J4&lt;&gt;"",LEFT($J4,1)&lt;&gt;"✓",LEFT($J4,1)&lt;&gt;"↳")</formula>
    </cfRule>
  </conditionalFormatting>
  <dataValidations count="10">
    <dataValidation type="list" allowBlank="1" showInputMessage="1" promptTitle="Type" prompt="Plus one rows go directly under their main guest. They are not imported as invitations." showErrorMessage="1" errorStyle="stop" errorTitle="Pick from the list" error="Please choose one of the options in the dropdown." sqref="A10:A403">
      <formula1>Lists!$E$1:$E$2</formula1>
    </dataValidation>
    <dataValidation type="list" allowBlank="1" showInputMessage="1" promptTitle="Type" prompt="Plus one rows go directly under their main guest. They are not imported as invitations." showErrorMessage="1" errorStyle="stop" errorTitle="Pick from the list" error="Please choose one of the options in the dropdown." sqref="A4:A403">
      <formula1>Lists!$E$1:$E$2</formula1>
    </dataValidation>
    <dataValidation type="list" allowBlank="1" showInputMessage="1" promptTitle="Party size" prompt="Total people on this invitation. 2 = them plus one. Leave empty on plus one rows." showErrorMessage="1" errorStyle="stop" errorTitle="Pick from the list" error="Please choose one of the options in the dropdown." sqref="C10:C403">
      <formula1>Lists!$A$1:$A$6</formula1>
    </dataValidation>
    <dataValidation type="list" allowBlank="1" showInputMessage="1" promptTitle="Party size" prompt="Total people on this invitation. 2 = them plus one. Leave empty on plus one rows." showErrorMessage="1" errorStyle="stop" errorTitle="Pick from the list" error="Please choose one of the options in the dropdown." sqref="C4:C403">
      <formula1>Lists!$A$1:$A$6</formula1>
    </dataValidation>
    <dataValidation type="list" allowBlank="1" showInputMessage="1" promptTitle="Send by" prompt="WhatsApp needs a phone number, Email needs an email." showErrorMessage="1" errorStyle="stop" errorTitle="Pick from the list" error="Please choose one of the options in the dropdown." sqref="D10:D403">
      <formula1>Lists!$B$1:$B$4</formula1>
    </dataValidation>
    <dataValidation type="list" allowBlank="1" showInputMessage="1" promptTitle="Send by" prompt="WhatsApp needs a phone number, Email needs an email." showErrorMessage="1" errorStyle="stop" errorTitle="Pick from the list" error="Please choose one of the options in the dropdown." sqref="D4:D403">
      <formula1>Lists!$B$1:$B$4</formula1>
    </dataValidation>
    <dataValidation type="list" allowBlank="1" showInputMessage="1" promptTitle="Side" prompt="Whose side of the family or friends." showErrorMessage="1" errorStyle="stop" errorTitle="Pick from the list" error="Please choose one of the options in the dropdown." sqref="G10:G403">
      <formula1>Lists!$C$1:$C$3</formula1>
    </dataValidation>
    <dataValidation type="list" allowBlank="1" showInputMessage="1" promptTitle="Side" prompt="Whose side of the family or friends." showErrorMessage="1" errorStyle="stop" errorTitle="Pick from the list" error="Please choose one of the options in the dropdown." sqref="G4:G403">
      <formula1>Lists!$C$1:$C$3</formula1>
    </dataValidation>
    <dataValidation type="list" allowBlank="1" showInputMessage="1" promptTitle="Group" prompt="Handy for filtering the guest list later." showErrorMessage="1" errorStyle="stop" errorTitle="Pick from the list" error="Please choose one of the options in the dropdown." sqref="H10:H403">
      <formula1>Lists!$D$1:$D$4</formula1>
    </dataValidation>
    <dataValidation type="list" allowBlank="1" showInputMessage="1" promptTitle="Group" prompt="Handy for filtering the guest list later." showErrorMessage="1" errorStyle="stop" errorTitle="Pick from the list" error="Please choose one of the options in the dropdown." sqref="H4:H403">
      <formula1>Lists!$D$1:$D$4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2940"/>
  </sheetPr>
  <dimension ref="B1:B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96" customWidth="1"/>
  </cols>
  <sheetData>
    <row r="1" ht="36" customHeight="1" spans="2:2" x14ac:dyDescent="0.25">
      <c r="B1" s="19" t="s">
        <v>36</v>
      </c>
    </row>
    <row r="2" ht="20" customHeight="1" spans="2:2" x14ac:dyDescent="0.25">
      <c r="B2" s="20" t="s">
        <v>26</v>
      </c>
    </row>
    <row r="3" ht="20" customHeight="1" spans="2:2" x14ac:dyDescent="0.25">
      <c r="B3" s="20" t="s">
        <v>37</v>
      </c>
    </row>
    <row r="4" ht="20" customHeight="1" spans="2:2" x14ac:dyDescent="0.25">
      <c r="B4" s="21" t="s">
        <v>38</v>
      </c>
    </row>
    <row r="5" ht="20" customHeight="1" spans="2:2" x14ac:dyDescent="0.25">
      <c r="B5" s="20" t="s">
        <v>39</v>
      </c>
    </row>
    <row r="6" ht="20" customHeight="1" spans="2:2" x14ac:dyDescent="0.25">
      <c r="B6" s="21" t="s">
        <v>40</v>
      </c>
    </row>
    <row r="7" ht="20" customHeight="1" spans="2:2" x14ac:dyDescent="0.25">
      <c r="B7" s="21" t="s">
        <v>41</v>
      </c>
    </row>
    <row r="8" ht="20" customHeight="1" spans="2:2" x14ac:dyDescent="0.25">
      <c r="B8" s="20" t="s">
        <v>42</v>
      </c>
    </row>
    <row r="9" ht="20" customHeight="1" spans="2:2" x14ac:dyDescent="0.25">
      <c r="B9" s="21" t="s">
        <v>43</v>
      </c>
    </row>
    <row r="10" ht="20" customHeight="1" spans="2:2" x14ac:dyDescent="0.25">
      <c r="B10" s="21" t="s">
        <v>44</v>
      </c>
    </row>
    <row r="11" ht="20" customHeight="1" spans="2:2" x14ac:dyDescent="0.25">
      <c r="B11" s="21" t="s">
        <v>45</v>
      </c>
    </row>
    <row r="12" ht="20" customHeight="1" spans="2:2" x14ac:dyDescent="0.25">
      <c r="B12" s="20" t="s">
        <v>46</v>
      </c>
    </row>
    <row r="13" ht="20" customHeight="1" spans="2:2" x14ac:dyDescent="0.25">
      <c r="B13" s="21" t="s">
        <v>47</v>
      </c>
    </row>
    <row r="14" ht="20" customHeight="1" spans="2:2" x14ac:dyDescent="0.25">
      <c r="B14" s="21" t="s">
        <v>48</v>
      </c>
    </row>
    <row r="15" ht="20" customHeight="1" spans="2:2" x14ac:dyDescent="0.25">
      <c r="B15" s="20" t="s">
        <v>49</v>
      </c>
    </row>
    <row r="16" ht="20" customHeight="1" spans="2:2" x14ac:dyDescent="0.25">
      <c r="B16" s="21" t="s">
        <v>50</v>
      </c>
    </row>
    <row r="17" ht="20" customHeight="1" spans="2:2" x14ac:dyDescent="0.25">
      <c r="B17" s="20" t="s">
        <v>51</v>
      </c>
    </row>
    <row r="18" ht="20" customHeight="1" spans="2:2" x14ac:dyDescent="0.25">
      <c r="B18" s="20" t="s">
        <v>52</v>
      </c>
    </row>
    <row r="19" ht="20" customHeight="1" spans="2:2" x14ac:dyDescent="0.25">
      <c r="B19" s="21" t="s">
        <v>53</v>
      </c>
    </row>
    <row r="20" ht="20" customHeight="1" spans="2:2" x14ac:dyDescent="0.25">
      <c r="B20" s="21" t="s">
        <v>54</v>
      </c>
    </row>
    <row r="21" ht="20" customHeight="1" spans="2:2" x14ac:dyDescent="0.25">
      <c r="B21" s="20" t="s">
        <v>26</v>
      </c>
    </row>
    <row r="22" ht="20" customHeight="1" spans="2:2" x14ac:dyDescent="0.25">
      <c r="B22" s="2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>
        <v>1</v>
      </c>
      <c r="B1" t="s">
        <v>24</v>
      </c>
      <c r="C1" t="s">
        <v>34</v>
      </c>
      <c r="D1" t="s">
        <v>28</v>
      </c>
      <c r="E1" t="s">
        <v>22</v>
      </c>
    </row>
    <row r="2" spans="1:5" x14ac:dyDescent="0.25">
      <c r="A2">
        <v>2</v>
      </c>
      <c r="B2" t="s">
        <v>16</v>
      </c>
      <c r="C2" t="s">
        <v>27</v>
      </c>
      <c r="D2" t="s">
        <v>35</v>
      </c>
      <c r="E2" t="s">
        <v>30</v>
      </c>
    </row>
    <row r="3" spans="1:4" x14ac:dyDescent="0.25">
      <c r="A3">
        <v>3</v>
      </c>
      <c r="B3" t="s">
        <v>56</v>
      </c>
      <c r="C3" t="s">
        <v>56</v>
      </c>
      <c r="D3" t="s">
        <v>57</v>
      </c>
    </row>
    <row r="4" spans="1:4" x14ac:dyDescent="0.25">
      <c r="A4">
        <v>4</v>
      </c>
      <c r="B4" t="s">
        <v>58</v>
      </c>
      <c r="D4" t="s">
        <v>59</v>
      </c>
    </row>
    <row r="5" spans="1:1" x14ac:dyDescent="0.25">
      <c r="A5">
        <v>5</v>
      </c>
    </row>
    <row r="6" spans="1:1" x14ac:dyDescent="0.25">
      <c r="A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 List</vt:lpstr>
      <vt:lpstr>How to use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2025-01-01T00:00:00Z</dcterms:created>
  <dcterms:modified xsi:type="dcterms:W3CDTF">2025-01-01T00:00:00Z</dcterms:modified>
</cp:coreProperties>
</file>